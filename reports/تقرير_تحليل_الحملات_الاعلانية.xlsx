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اقرأني" sheetId="1" state="visible" r:id="rId3"/>
    <sheet name="الإعدادات" sheetId="2" state="visible" r:id="rId4"/>
    <sheet name="بيانات_الحملات" sheetId="3" state="visible" r:id="rId5"/>
    <sheet name="شوبيفاي" sheetId="4" state="visible" r:id="rId6"/>
    <sheet name="ملخص_المنصات" sheetId="5" state="visible" r:id="rId7"/>
    <sheet name="الأداء_الشهري" sheetId="6" state="visible" r:id="rId8"/>
    <sheet name="التوصيات" sheetId="7" state="visible" r:id="rId9"/>
    <sheet name="خطة_30_يوم" sheetId="8" state="visible" r:id="rId10"/>
  </sheets>
  <definedNames>
    <definedName function="false" hidden="true" localSheetId="6" name="_xlnm._FilterDatabase" vbProcedure="false">التوصيات!$A$4:$K$30</definedName>
    <definedName function="false" hidden="true" localSheetId="2" name="_xlnm._FilterDatabase" vbProcedure="false">بيانات_الحملات!$A$3:$Y$303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<sst xmlns="http://schemas.openxmlformats.org/spreadsheetml/2006/main" count="545" uniqueCount="348">
  <si>
    <t xml:space="preserve">تقرير تحليل الحملات الإعلانية — متجر Shopify (zyfrtn-pz)</t>
  </si>
  <si>
    <t xml:space="preserve">من إنشاء الحسابات الإعلانية حتى 2026-10-07 · Meta · TikTok · Snapchat (حسابان) · Google Ads</t>
  </si>
  <si>
    <t xml:space="preserve">⚠️ ملاحظة مهمة عن البيانات</t>
  </si>
  <si>
    <t xml:space="preserve">لم يتم إدخال أي أرقام في هذا الملف حتى الآن. روابط Shopify ومنصات الإعلانات تتطلب تسجيل دخول بحسابك، ولا يوجد ربط (Connector) بها في هذه الجلسة، لذلك لم أستطع سحب الأرقام. لم أخترع أي رقم — كل التحليلات والمؤشرات والأحكام في الملف تُحسب تلقائياً فور لصق البيانات المصدّرة.</t>
  </si>
  <si>
    <t xml:space="preserve">كيف تستخدم الملف</t>
  </si>
  <si>
    <t xml:space="preserve">1</t>
  </si>
  <si>
    <t xml:space="preserve">صدّر من كل منصة تقرير الحملات بتقسيم شهري (Breakdown: Month) للفترة من أول يوم للحساب حتى اليوم — التفاصيل في الجدول أدناه.</t>
  </si>
  <si>
    <t xml:space="preserve">2</t>
  </si>
  <si>
    <t xml:space="preserve">الصق كل صف (حملة × شهر) في ورقة «بيانات_الحملات» في الخلايا الصفراء فقط (الأعمدة A إلى O).</t>
  </si>
  <si>
    <t xml:space="preserve">3</t>
  </si>
  <si>
    <t xml:space="preserve">أدخل أرقام Shopify الشهرية في ورقة «شوبيفاي» (Analytics › Reports › Sales over time بتقسيم شهري).</t>
  </si>
  <si>
    <t xml:space="preserve">4</t>
  </si>
  <si>
    <t xml:space="preserve">عدّل الافتراضات في «الإعدادات» (العملة، هامش الربح، ROAS المستهدف، معايير المنصات).</t>
  </si>
  <si>
    <t xml:space="preserve">5</t>
  </si>
  <si>
    <t xml:space="preserve">تتحدث تلقائياً: «ملخص_المنصات»، «الأداء_الشهري»، وعمود التوصية الآلية لكل حملة. ثم راجع «التوصيات» و«خطة_30_يوم».</t>
  </si>
  <si>
    <t xml:space="preserve">دليل الألوان</t>
  </si>
  <si>
    <t xml:space="preserve">خلفية صفراء + نص أزرق</t>
  </si>
  <si>
    <t xml:space="preserve">خلية إدخال — تكتب فيها أنت</t>
  </si>
  <si>
    <t xml:space="preserve">نص أسود</t>
  </si>
  <si>
    <t xml:space="preserve">معادلة — لا تعدّلها</t>
  </si>
  <si>
    <t xml:space="preserve">أخضر / أحمر / أصفر</t>
  </si>
  <si>
    <t xml:space="preserve">حكم الأداء: ممتاز / يحتاج تدخل / مقبول</t>
  </si>
  <si>
    <t xml:space="preserve">مصادر البيانات وطريقة التصدير</t>
  </si>
  <si>
    <t xml:space="preserve">المصدر</t>
  </si>
  <si>
    <t xml:space="preserve">المعرّف</t>
  </si>
  <si>
    <t xml:space="preserve">ماذا تصدّر</t>
  </si>
  <si>
    <t xml:space="preserve">المسار في المنصة</t>
  </si>
  <si>
    <t xml:space="preserve">الحالة</t>
  </si>
  <si>
    <t xml:space="preserve">Shopify</t>
  </si>
  <si>
    <t xml:space="preserve">zyfrtn-pz</t>
  </si>
  <si>
    <t xml:space="preserve">الطلبات، المبيعات الإجمالية، الخصومات، المرتجعات، صافي المبيعات، الجلسات، العملاء الجدد/العائدون — شهرياً</t>
  </si>
  <si>
    <t xml:space="preserve">Analytics › Reports › Sales over time / Sessions over time / Customers over time</t>
  </si>
  <si>
    <t xml:space="preserve">بانتظار البيانات</t>
  </si>
  <si>
    <t xml:space="preserve">Meta Ads</t>
  </si>
  <si>
    <t xml:space="preserve">act=1630621441390854</t>
  </si>
  <si>
    <t xml:space="preserve">Campaign name, Objective, Delivery, Amount spent, Impressions, Reach, Link clicks, Adds to cart, Checkouts initiated, Purchases, Purchases conversion value</t>
  </si>
  <si>
    <t xml:space="preserve">Ads Manager › Campaigns › Breakdown › By time › Month › Export (.csv)</t>
  </si>
  <si>
    <t xml:space="preserve">TikTok Ads</t>
  </si>
  <si>
    <t xml:space="preserve">aadvid=7606288369854267408</t>
  </si>
  <si>
    <t xml:space="preserve">Cost, Impressions, Reach, Clicks (destination), Add to cart, Initiate checkout, Complete payment, Complete payment value</t>
  </si>
  <si>
    <t xml:space="preserve">Campaign › Custom columns › Breakdown: Month › Export</t>
  </si>
  <si>
    <t xml:space="preserve">Snapchat Ads (حساب 1)</t>
  </si>
  <si>
    <t xml:space="preserve">d30fd7db-…-7142f5336fb6</t>
  </si>
  <si>
    <t xml:space="preserve">Spend, Paid Impressions, Reach, Swipe Ups, Add Cart, Start Checkout, Purchases, Purchase Value</t>
  </si>
  <si>
    <t xml:space="preserve">Ads Manager › Manage › Breakdown: Month › Export CSV</t>
  </si>
  <si>
    <t xml:space="preserve">Snapchat Ads (حساب 2)</t>
  </si>
  <si>
    <t xml:space="preserve">ec193e03-…-7c37db092</t>
  </si>
  <si>
    <t xml:space="preserve">نفس أعمدة الحساب 1</t>
  </si>
  <si>
    <t xml:space="preserve">Google Ads</t>
  </si>
  <si>
    <t xml:space="preserve">ocid=8019176555</t>
  </si>
  <si>
    <t xml:space="preserve">Campaign, Campaign type, Cost, Impr., Clicks, Conversions (Purchase), Conv. value</t>
  </si>
  <si>
    <t xml:space="preserve">Campaigns › Segment › Time › Month › Download (.csv)</t>
  </si>
  <si>
    <t xml:space="preserve">مثال لصف واحد في «بيانات_الحملات» (للتوضيح فقط — غير محسوب في التقرير)</t>
  </si>
  <si>
    <t xml:space="preserve">المنصة</t>
  </si>
  <si>
    <t xml:space="preserve">الحساب</t>
  </si>
  <si>
    <t xml:space="preserve">اسم الحملة</t>
  </si>
  <si>
    <t xml:space="preserve">الهدف</t>
  </si>
  <si>
    <t xml:space="preserve">تاريخ البداية</t>
  </si>
  <si>
    <t xml:space="preserve">الشهر</t>
  </si>
  <si>
    <t xml:space="preserve">الإنفاق</t>
  </si>
  <si>
    <t xml:space="preserve">الظهور</t>
  </si>
  <si>
    <t xml:space="preserve">الوصول</t>
  </si>
  <si>
    <t xml:space="preserve">النقرات</t>
  </si>
  <si>
    <t xml:space="preserve">إضافة للسلة</t>
  </si>
  <si>
    <t xml:space="preserve">بدء الدفع</t>
  </si>
  <si>
    <t xml:space="preserve">المشتريات</t>
  </si>
  <si>
    <t xml:space="preserve">قيمة المشتريات</t>
  </si>
  <si>
    <t xml:space="preserve">Meta</t>
  </si>
  <si>
    <t xml:space="preserve">Meta-الرئيسي</t>
  </si>
  <si>
    <t xml:space="preserve">Sales | Broad | Video</t>
  </si>
  <si>
    <t xml:space="preserve">مبيعات</t>
  </si>
  <si>
    <t xml:space="preserve">نشطة</t>
  </si>
  <si>
    <t xml:space="preserve">2026-05-03</t>
  </si>
  <si>
    <t xml:space="preserve">2026-05</t>
  </si>
  <si>
    <t xml:space="preserve">الإعدادات والافتراضات</t>
  </si>
  <si>
    <t xml:space="preserve">كل الخلايا الصفراء قابلة للتعديل — كل التقرير يُعاد حسابه عليها</t>
  </si>
  <si>
    <t xml:space="preserve">العملة</t>
  </si>
  <si>
    <t xml:space="preserve">SAR</t>
  </si>
  <si>
    <t xml:space="preserve">افتراض — غيّرها لعملة المتجر الفعلية</t>
  </si>
  <si>
    <t xml:space="preserve">هامش الربح الإجمالي بعد تكلفة المنتج والشحن</t>
  </si>
  <si>
    <t xml:space="preserve">افتراض شائع للمتاجر الإلكترونية — أدخل هامشك الحقيقي</t>
  </si>
  <si>
    <t xml:space="preserve">ROAS المستهدف</t>
  </si>
  <si>
    <t xml:space="preserve">افتراض — هدف ربحي فوق نقطة التعادل</t>
  </si>
  <si>
    <t xml:space="preserve">ROAS نقطة التعادل</t>
  </si>
  <si>
    <t xml:space="preserve">يساوي 1 ÷ الهامش: أقل منه = خسارة على كل عملية بيع</t>
  </si>
  <si>
    <t xml:space="preserve">تكلفة الاستحواذ CPA المستهدفة</t>
  </si>
  <si>
    <t xml:space="preserve">افتراض — تقريباً متوسط السلة × الهامش × 0.5</t>
  </si>
  <si>
    <t xml:space="preserve">حد الإنفاق الأدنى للحكم على حملة</t>
  </si>
  <si>
    <t xml:space="preserve">لا نحكم على حملة قبل إنفاق ضعف الـCPA المستهدف</t>
  </si>
  <si>
    <t xml:space="preserve">نسبة زيادة الميزانية عند التوسيع</t>
  </si>
  <si>
    <t xml:space="preserve">قاعدة: لا تزد أكثر من 20% كل 48–72 ساعة حتى لا تعود مرحلة التعلّم</t>
  </si>
  <si>
    <t xml:space="preserve">معايير المنصات (Benchmarks) — تقديرية لمتاجر التجارة الإلكترونية في الخليج، عدّلها حسب سوقك</t>
  </si>
  <si>
    <t xml:space="preserve">CTR الأدنى المقبول</t>
  </si>
  <si>
    <t xml:space="preserve">CPM الأعلى المقبول</t>
  </si>
  <si>
    <t xml:space="preserve">معدل تحويل النقرة الأدنى</t>
  </si>
  <si>
    <t xml:space="preserve">ملاحظة</t>
  </si>
  <si>
    <t xml:space="preserve">CTR (رابط) 1%+ جيد لحملات التحويل</t>
  </si>
  <si>
    <t xml:space="preserve">TikTok</t>
  </si>
  <si>
    <t xml:space="preserve">المحتوى الأصلي UGC يرفع CTR</t>
  </si>
  <si>
    <t xml:space="preserve">Snapchat</t>
  </si>
  <si>
    <t xml:space="preserve">Swipe-up rate؛ CPM منخفض لكن نية شراء أقل</t>
  </si>
  <si>
    <t xml:space="preserve">Search/Brand أعلى CTR وتحويل؛ PMax أقل</t>
  </si>
  <si>
    <t xml:space="preserve">مصدر المعايير: متوسطات صناعية عامة منشورة لإعلانات التجارة الإلكترونية (تختلف حسب الفئة والموسم) — افتراضات للمقارنة فقط وليست أرقام حسابك.</t>
  </si>
  <si>
    <t xml:space="preserve">بيانات الحملات (حملة × شهر)</t>
  </si>
  <si>
    <t xml:space="preserve">الصق البيانات في الأعمدة A–O. الأعمدة P–Y تُحسب تلقائياً.</t>
  </si>
  <si>
    <t xml:space="preserve">CTR</t>
  </si>
  <si>
    <t xml:space="preserve">CPC</t>
  </si>
  <si>
    <t xml:space="preserve">CPM</t>
  </si>
  <si>
    <t xml:space="preserve">معدل التحويل</t>
  </si>
  <si>
    <t xml:space="preserve">CPA</t>
  </si>
  <si>
    <t xml:space="preserve">ROAS</t>
  </si>
  <si>
    <t xml:space="preserve">متوسط السلة</t>
  </si>
  <si>
    <t xml:space="preserve">صافي الربح التقديري</t>
  </si>
  <si>
    <t xml:space="preserve">فرق CTR عن المعيار</t>
  </si>
  <si>
    <t xml:space="preserve">التوصية الآلية</t>
  </si>
  <si>
    <t xml:space="preserve">بيانات Shopify الشهرية</t>
  </si>
  <si>
    <t xml:space="preserve">من Shopify Analytics — المصدر الحقيقي للمبيعات (بخلاف أرقام المنصات المنسوبة)</t>
  </si>
  <si>
    <t xml:space="preserve">الطلبات</t>
  </si>
  <si>
    <t xml:space="preserve">إجمالي المبيعات</t>
  </si>
  <si>
    <t xml:space="preserve">الخصومات</t>
  </si>
  <si>
    <t xml:space="preserve">المرتجعات</t>
  </si>
  <si>
    <t xml:space="preserve">صافي المبيعات</t>
  </si>
  <si>
    <t xml:space="preserve">الجلسات</t>
  </si>
  <si>
    <t xml:space="preserve">متوسط قيمة الطلب</t>
  </si>
  <si>
    <t xml:space="preserve">عملاء جدد</t>
  </si>
  <si>
    <t xml:space="preserve">عملاء عائدون</t>
  </si>
  <si>
    <t xml:space="preserve">نسبة العائدين</t>
  </si>
  <si>
    <t xml:space="preserve">2026-04</t>
  </si>
  <si>
    <t xml:space="preserve">2026-06</t>
  </si>
  <si>
    <t xml:space="preserve">2026-07</t>
  </si>
  <si>
    <t xml:space="preserve">2026-08</t>
  </si>
  <si>
    <t xml:space="preserve">2026-09</t>
  </si>
  <si>
    <t xml:space="preserve">2026-10</t>
  </si>
  <si>
    <t xml:space="preserve">الإجمالي</t>
  </si>
  <si>
    <t xml:space="preserve">ملخص الأداء حسب المنصة — منذ الإنشاء حتى اليوم</t>
  </si>
  <si>
    <t xml:space="preserve">يُحسب من «بيانات_الحملات» · ROAS والمبيعات هنا كما تنسبها كل منصة لنفسها</t>
  </si>
  <si>
    <t xml:space="preserve">حصة الإنفاق</t>
  </si>
  <si>
    <t xml:space="preserve">حصة المبيعات</t>
  </si>
  <si>
    <t xml:space="preserve">الحكم</t>
  </si>
  <si>
    <t xml:space="preserve">مقارنة بالمعايير</t>
  </si>
  <si>
    <t xml:space="preserve">CTR الفعلي</t>
  </si>
  <si>
    <t xml:space="preserve">CTR المعيار</t>
  </si>
  <si>
    <t xml:space="preserve">CPM الفعلي</t>
  </si>
  <si>
    <t xml:space="preserve">CPM المعيار</t>
  </si>
  <si>
    <t xml:space="preserve">التحويل الفعلي</t>
  </si>
  <si>
    <t xml:space="preserve">التحويل المعيار</t>
  </si>
  <si>
    <t xml:space="preserve">التشخيص</t>
  </si>
  <si>
    <t xml:space="preserve">المطابقة مع Shopify (الحقيقة المالية)</t>
  </si>
  <si>
    <t xml:space="preserve">صافي مبيعات Shopify</t>
  </si>
  <si>
    <t xml:space="preserve">المبيعات الفعلية في المتجر</t>
  </si>
  <si>
    <t xml:space="preserve">إجمالي الإنفاق الإعلاني</t>
  </si>
  <si>
    <t xml:space="preserve">كل المنصات</t>
  </si>
  <si>
    <t xml:space="preserve">MER — العائد الكلي على التسويق</t>
  </si>
  <si>
    <t xml:space="preserve">أهم مؤشر: يجمع كل المبيعات ÷ كل الإنفاق، ولا يتأثر بازدواجية النسب</t>
  </si>
  <si>
    <t xml:space="preserve">المبيعات المنسوبة من المنصات مجتمعة</t>
  </si>
  <si>
    <t xml:space="preserve">مجموع ما تدّعيه كل منصة</t>
  </si>
  <si>
    <t xml:space="preserve">نسبة الازدواج في النسب</t>
  </si>
  <si>
    <t xml:space="preserve">إذا &gt; 1.0x فالمنصات تنسب نفس الطلب لأكثر من منصة — اعتمد MER</t>
  </si>
  <si>
    <t xml:space="preserve">تكلفة الطلب المدمجة (Blended CPA)</t>
  </si>
  <si>
    <t xml:space="preserve">الإنفاق الكلي ÷ كل طلبات Shopify</t>
  </si>
  <si>
    <t xml:space="preserve">نسبة الإنفاق من صافي المبيعات</t>
  </si>
  <si>
    <t xml:space="preserve">صحي عادة 15–30% حسب الهامش</t>
  </si>
  <si>
    <t xml:space="preserve">الربح التقديري بعد الإعلانات</t>
  </si>
  <si>
    <t xml:space="preserve">صافي المبيعات × الهامش − الإنفاق</t>
  </si>
  <si>
    <t xml:space="preserve">حكم الحساب ككل</t>
  </si>
  <si>
    <t xml:space="preserve">الاتجاه الشهري — الإنفاق والعائد</t>
  </si>
  <si>
    <t xml:space="preserve">أداة لاكتشاف التشبع والموسمية: هل يرتفع الإنفاق دون ارتفاع المبيعات؟</t>
  </si>
  <si>
    <t xml:space="preserve">إنفاق Meta</t>
  </si>
  <si>
    <t xml:space="preserve">إنفاق TikTok</t>
  </si>
  <si>
    <t xml:space="preserve">إنفاق Snapchat</t>
  </si>
  <si>
    <t xml:space="preserve">إنفاق Google Ads</t>
  </si>
  <si>
    <t xml:space="preserve">إجمالي الإنفاق</t>
  </si>
  <si>
    <t xml:space="preserve">المبيعات المنسوبة</t>
  </si>
  <si>
    <t xml:space="preserve">ROAS المنصات</t>
  </si>
  <si>
    <t xml:space="preserve">طلبات Shopify</t>
  </si>
  <si>
    <t xml:space="preserve">MER</t>
  </si>
  <si>
    <t xml:space="preserve">Blended CPA</t>
  </si>
  <si>
    <t xml:space="preserve">تغيّر الإنفاق</t>
  </si>
  <si>
    <t xml:space="preserve">تغيّر المبيعات</t>
  </si>
  <si>
    <t xml:space="preserve">قاعدة قراءة: إذا كان «تغيّر الإنفاق» أعلى بوضوح من «تغيّر المبيعات» لشهرين متتاليين → وصلت للتشبع: وسّع الجماهير/الإبداعات قبل زيادة الميزانية.</t>
  </si>
  <si>
    <t xml:space="preserve">ملاحظات وتوصيات تحسينية — واقعية (تنفيذ فوري) وذكية (نمو متقدم)</t>
  </si>
  <si>
    <t xml:space="preserve">رتّب حسب الأولوية · الحالة قابلة للتحديث</t>
  </si>
  <si>
    <t xml:space="preserve">#</t>
  </si>
  <si>
    <t xml:space="preserve">المجال</t>
  </si>
  <si>
    <t xml:space="preserve">التشخيص / الملاحظة</t>
  </si>
  <si>
    <t xml:space="preserve">الإجراء المقترح</t>
  </si>
  <si>
    <t xml:space="preserve">النوع</t>
  </si>
  <si>
    <t xml:space="preserve">الأولوية</t>
  </si>
  <si>
    <t xml:space="preserve">الأثر المتوقع</t>
  </si>
  <si>
    <t xml:space="preserve">مؤشر القياس</t>
  </si>
  <si>
    <t xml:space="preserve">المدة</t>
  </si>
  <si>
    <t xml:space="preserve">الكل</t>
  </si>
  <si>
    <t xml:space="preserve">القياس والتتبّع</t>
  </si>
  <si>
    <t xml:space="preserve">أرقام المنصات تنسب نفس الطلب لأكثر من منصة؛ الاعتماد عليها وحدها يضخّم النتائج</t>
  </si>
  <si>
    <t xml:space="preserve">اعتماد MER و Blended CPA من Shopify كمؤشر قرار أساسي، ومراجعة «نسبة الازدواج» أسبوعياً</t>
  </si>
  <si>
    <t xml:space="preserve">واقعي</t>
  </si>
  <si>
    <t xml:space="preserve">عالية</t>
  </si>
  <si>
    <t xml:space="preserve">قرارات ميزانية صحيحة</t>
  </si>
  <si>
    <t xml:space="preserve">أسبوع</t>
  </si>
  <si>
    <t xml:space="preserve">لم يبدأ</t>
  </si>
  <si>
    <t xml:space="preserve">فقدان إشارات التحويل بسبب iOS ومانعات الإعلانات</t>
  </si>
  <si>
    <t xml:space="preserve">تفعيل Conversions API (Meta)، Events API (TikTok)، Conversions API (Snapchat)، و Enhanced Conversions (Google) عبر تطبيقات Shopify الرسمية مع إزالة التكرار (Deduplication)</t>
  </si>
  <si>
    <t xml:space="preserve">+10–30% أحداث مُسجلة وتحسين خوارزمي</t>
  </si>
  <si>
    <t xml:space="preserve">Event Match Quality ≥ 7</t>
  </si>
  <si>
    <t xml:space="preserve">صعوبة معرفة مصدر الطلب الفعلي</t>
  </si>
  <si>
    <t xml:space="preserve">توحيد UTM لكل الإعلانات (utm_source/medium/campaign/content) + سؤال «من أين عرفتنا؟» في صفحة الشكر</t>
  </si>
  <si>
    <t xml:space="preserve">رؤية حقيقية لمصدر المبيعات</t>
  </si>
  <si>
    <t xml:space="preserve">% الطلبات ذات مصدر معروف</t>
  </si>
  <si>
    <t xml:space="preserve">3 أيام</t>
  </si>
  <si>
    <t xml:space="preserve">الميزانية</t>
  </si>
  <si>
    <t xml:space="preserve">الإنفاق موزّع على 5 حسابات و4 منصات قد يشتّت الخوارزميات</t>
  </si>
  <si>
    <t xml:space="preserve">تركيز 70% من الميزانية على المنصة/الحملات صاحبة أعلى MER، 20% على ثاني أفضل منصة، 10% للاختبار</t>
  </si>
  <si>
    <t xml:space="preserve">ذكي</t>
  </si>
  <si>
    <t xml:space="preserve">رفع ROAS الإجمالي</t>
  </si>
  <si>
    <t xml:space="preserve">MER الشهري</t>
  </si>
  <si>
    <t xml:space="preserve">شهر</t>
  </si>
  <si>
    <t xml:space="preserve">زيادة الميزانية بقفزات كبيرة تعيد مرحلة التعلّم</t>
  </si>
  <si>
    <t xml:space="preserve">زيادة 20% كل 48–72 ساعة فقط للحملات التي تتجاوز ROAS المستهدف ×1.2 (انظر التوصية الآلية)</t>
  </si>
  <si>
    <t xml:space="preserve">متوسطة</t>
  </si>
  <si>
    <t xml:space="preserve">توسع بدون تدهور التكلفة</t>
  </si>
  <si>
    <t xml:space="preserve">CPA بعد التوسيع</t>
  </si>
  <si>
    <t xml:space="preserve">مستمر</t>
  </si>
  <si>
    <t xml:space="preserve">الإبداعات</t>
  </si>
  <si>
    <t xml:space="preserve">إرهاق الإعلان (Ad Fatigue) هو أسرع سبب لارتفاع التكلفة</t>
  </si>
  <si>
    <t xml:space="preserve">جدول إنتاج ثابت: 3–5 إبداعات جديدة أسبوعياً لكل منصة (UGC، تجربة المنتج، قبل/بعد، آراء العملاء)؛ أوقف الإبداع عند تكرار &gt; 3 أو انخفاض CTR 30%</t>
  </si>
  <si>
    <t xml:space="preserve">تكلفة نقرة أقل</t>
  </si>
  <si>
    <t xml:space="preserve">CTR، Frequency</t>
  </si>
  <si>
    <t xml:space="preserve">أسبوعي</t>
  </si>
  <si>
    <t xml:space="preserve">الخطّاف في أول 3 ثوانٍ يحدد نجاح الفيديو</t>
  </si>
  <si>
    <t xml:space="preserve">اختبار 3 خطّافات مختلفة لنفس الفيديو (سؤال، مشكلة، نتيجة) واعتماد الفائز</t>
  </si>
  <si>
    <t xml:space="preserve">+20–40% معدل مشاهدة</t>
  </si>
  <si>
    <t xml:space="preserve">Hook rate (3s views ÷ impressions)</t>
  </si>
  <si>
    <t xml:space="preserve">أسبوعان</t>
  </si>
  <si>
    <t xml:space="preserve">المتجر والتحويل</t>
  </si>
  <si>
    <t xml:space="preserve">ارتفاع إضافة للسلة مع انخفاض المشتريات = مشكلة في الدفع أو التكلفة النهائية</t>
  </si>
  <si>
    <t xml:space="preserve">مراجعة رسوم الشحن، إظهار الدفع عند الاستلام/تابي/تمارا/Apple Pay، تبسيط الدفع لصفحة واحدة</t>
  </si>
  <si>
    <t xml:space="preserve">رفع معدل إتمام الشراء</t>
  </si>
  <si>
    <t xml:space="preserve">Checkout → Purchase %</t>
  </si>
  <si>
    <t xml:space="preserve">سرعة الصفحة على الجوال تؤثر مباشرة على التحويل</t>
  </si>
  <si>
    <t xml:space="preserve">ضغط الصور، تقليل التطبيقات، هدف تحميل &lt; 3 ثوانٍ على الجوال</t>
  </si>
  <si>
    <t xml:space="preserve">+تحويل</t>
  </si>
  <si>
    <t xml:space="preserve">PageSpeed Mobile</t>
  </si>
  <si>
    <t xml:space="preserve">متوسط قيمة الطلب منخفض يرفع CPA النسبي</t>
  </si>
  <si>
    <t xml:space="preserve">عروض الحزم (Bundles)، شحن مجاني فوق حد معين (≈ متوسط السلة × 1.3)، منتجات مكمّلة في السلة</t>
  </si>
  <si>
    <t xml:space="preserve">+15–25% متوسط السلة</t>
  </si>
  <si>
    <t xml:space="preserve">AOV</t>
  </si>
  <si>
    <t xml:space="preserve">الاحتفاظ</t>
  </si>
  <si>
    <t xml:space="preserve">العملاء العائدون أرخص 5 مرات من الجدد</t>
  </si>
  <si>
    <t xml:space="preserve">تفعيل حملات WhatsApp/SMS/Email بعد الشراء، وسلة مهجورة (3 رسائل)، وبرنامج ولاء</t>
  </si>
  <si>
    <t xml:space="preserve">رفع MER دون زيادة الإنفاق</t>
  </si>
  <si>
    <t xml:space="preserve">الهيكلة</t>
  </si>
  <si>
    <t xml:space="preserve">تعدد الحملات الصغيرة يمنع الخروج من مرحلة التعلم (50 تحويل/أسبوع)</t>
  </si>
  <si>
    <t xml:space="preserve">دمج الحملات في هيكل مبسّط: Advantage+ Shopping (ASC) للتوسيع + حملة اختبار إبداعات ABO + ريتارجتنج</t>
  </si>
  <si>
    <t xml:space="preserve">خروج من مرحلة التعلم وCPA أقل</t>
  </si>
  <si>
    <t xml:space="preserve">Learning status، CPA</t>
  </si>
  <si>
    <t xml:space="preserve">الاستهداف</t>
  </si>
  <si>
    <t xml:space="preserve">الاستهداف الضيق يرفع CPM</t>
  </si>
  <si>
    <t xml:space="preserve">استخدام Broad / Advantage+ Audience والاعتماد على الإبداع كاستهداف، مع استبعاد المشترين آخر 30 يوماً</t>
  </si>
  <si>
    <t xml:space="preserve">CPM أقل</t>
  </si>
  <si>
    <t xml:space="preserve">CPM، CPA</t>
  </si>
  <si>
    <t xml:space="preserve">الكتالوج</t>
  </si>
  <si>
    <t xml:space="preserve">غياب الإعلانات الديناميكية يفقد زوار المنتجات</t>
  </si>
  <si>
    <t xml:space="preserve">ربط كتالوج Shopify وتفعيل Advantage+ Catalog لإعادة استهداف من شاهد/أضاف للسلة</t>
  </si>
  <si>
    <t xml:space="preserve">ROAS ريتارجتنج 4x+ عادة</t>
  </si>
  <si>
    <t xml:space="preserve">ROAS الريتارجتنج</t>
  </si>
  <si>
    <t xml:space="preserve">إعلانات تبدو كإعلانات تقليدية تفشل على TikTok</t>
  </si>
  <si>
    <t xml:space="preserve">محتوى عمودي أصلي بأسلوب صناع المحتوى، مع Spark Ads من حسابات مؤثرين/عملاء</t>
  </si>
  <si>
    <t xml:space="preserve">CTR أعلى وتكلفة أقل</t>
  </si>
  <si>
    <t xml:space="preserve">CTR، 6s view rate</t>
  </si>
  <si>
    <t xml:space="preserve">حملات تحسّن على النقرات بدل الشراء</t>
  </si>
  <si>
    <t xml:space="preserve">التحسين على Complete Payment بعد تجاوز ~50 حدث شراء، أو استخدام Smart+ / GMV Max</t>
  </si>
  <si>
    <t xml:space="preserve">مشترون أعلى نية</t>
  </si>
  <si>
    <t xml:space="preserve">التوسع</t>
  </si>
  <si>
    <t xml:space="preserve">ميزانيات قليلة على مجموعات كثيرة</t>
  </si>
  <si>
    <t xml:space="preserve">حد أدنى للميزانية اليومية ≈ CPA المستهدف × 10 لكل مجموعة إعلانية تعمل على الشراء</t>
  </si>
  <si>
    <t xml:space="preserve">استقرار التسليم</t>
  </si>
  <si>
    <t xml:space="preserve">التسليم/التعلم</t>
  </si>
  <si>
    <t xml:space="preserve">الحسابات</t>
  </si>
  <si>
    <t xml:space="preserve">وجود حسابين إعلانيين قد يجعل الحسابين يتنافسان على نفس الجمهور ويرفعان التكلفة</t>
  </si>
  <si>
    <t xml:space="preserve">توحيد الإنفاق في حساب واحد أو تقسيم واضح (حساب للتوسيع، حساب للريتارجتنج) مع استبعاد متبادل</t>
  </si>
  <si>
    <t xml:space="preserve">CPM أقل ووضوح في القراءة</t>
  </si>
  <si>
    <t xml:space="preserve">CPM، Frequency</t>
  </si>
  <si>
    <t xml:space="preserve">التحويل</t>
  </si>
  <si>
    <t xml:space="preserve">Snapchat يحقق ظهوراً رخيصاً لكن تحويل أقل</t>
  </si>
  <si>
    <t xml:space="preserve">الاعتماد على Dynamic Product Ads + عروض حصرية (كود خصم Snap) واختبار Collection Ads</t>
  </si>
  <si>
    <t xml:space="preserve">Swipe → Purchase %</t>
  </si>
  <si>
    <t xml:space="preserve">الجمهور</t>
  </si>
  <si>
    <t xml:space="preserve">جمهور شاب في الخليج ونشط ليلاً</t>
  </si>
  <si>
    <t xml:space="preserve">جدولة الإعلانات على ساعات الذروة وتحليل الأداء حسب الساعة</t>
  </si>
  <si>
    <t xml:space="preserve">منخفضة</t>
  </si>
  <si>
    <t xml:space="preserve">تكلفة أقل</t>
  </si>
  <si>
    <t xml:space="preserve">CPA حسب الساعة</t>
  </si>
  <si>
    <t xml:space="preserve">البحث</t>
  </si>
  <si>
    <t xml:space="preserve">حماية اسم المتجر من المنافسين</t>
  </si>
  <si>
    <t xml:space="preserve">حملة Brand Search منفصلة بميزانية صغيرة (ROAS مرتفع عادة)</t>
  </si>
  <si>
    <t xml:space="preserve">التقاط الطلب المباشر</t>
  </si>
  <si>
    <t xml:space="preserve">Impression share البراند</t>
  </si>
  <si>
    <t xml:space="preserve">PMax</t>
  </si>
  <si>
    <t xml:space="preserve">Performance Max يصرف على البراند ويضخم النتائج</t>
  </si>
  <si>
    <t xml:space="preserve">استبعاد كلمات البراند من PMax، وربط Merchant Center بفيد منتجات محسّن (عناوين، صور، أسعار)</t>
  </si>
  <si>
    <t xml:space="preserve">قراءة حقيقية لـ PMax</t>
  </si>
  <si>
    <t xml:space="preserve">ROAS بعد الاستبعاد</t>
  </si>
  <si>
    <t xml:space="preserve">الكلمات</t>
  </si>
  <si>
    <t xml:space="preserve">إنفاق على كلمات بحث غير ذات صلة</t>
  </si>
  <si>
    <t xml:space="preserve">مراجعة Search Terms أسبوعياً وإضافة كلمات سلبية</t>
  </si>
  <si>
    <t xml:space="preserve">توفير 10–20% من الإنفاق</t>
  </si>
  <si>
    <t xml:space="preserve">تكلفة الكلمات غير المحولة</t>
  </si>
  <si>
    <t xml:space="preserve">التتبّع</t>
  </si>
  <si>
    <t xml:space="preserve">احتساب تحويلات غير الشراء كأهداف رئيسية</t>
  </si>
  <si>
    <t xml:space="preserve">جعل Purchase هو التحويل الأساسي الوحيد، والبقية ثانوية</t>
  </si>
  <si>
    <t xml:space="preserve">تحسين خوارزمي صحيح</t>
  </si>
  <si>
    <t xml:space="preserve">Conv. value / cost</t>
  </si>
  <si>
    <t xml:space="preserve">يوم</t>
  </si>
  <si>
    <t xml:space="preserve">التقارير</t>
  </si>
  <si>
    <t xml:space="preserve">المتابعة اليدوية تؤخر القرار</t>
  </si>
  <si>
    <t xml:space="preserve">تحديث هذا الملف أسبوعياً (كل أحد) وجلسة قرار: أوقف/وسّع/اختبر</t>
  </si>
  <si>
    <t xml:space="preserve">سرعة القرار</t>
  </si>
  <si>
    <t xml:space="preserve">—</t>
  </si>
  <si>
    <t xml:space="preserve">التخطيط الموسمي</t>
  </si>
  <si>
    <t xml:space="preserve">المواسم (الجمعة البيضاء، رمضان، اليوم الوطني، رواتب آخر الشهر) تغيّر التكلفة</t>
  </si>
  <si>
    <t xml:space="preserve">تجهيز الإبداعات والعروض قبل الموسم بـ3 أسابيع، ورفع الميزانية تدريجياً قبل الموسم بأسبوع</t>
  </si>
  <si>
    <t xml:space="preserve">استغلال ذروة الطلب</t>
  </si>
  <si>
    <t xml:space="preserve">مبيعات الموسم</t>
  </si>
  <si>
    <t xml:space="preserve">حسب التقويم</t>
  </si>
  <si>
    <t xml:space="preserve">خطة تنفيذ 30 يوماً</t>
  </si>
  <si>
    <t xml:space="preserve">تبدأ فور إدخال البيانات</t>
  </si>
  <si>
    <t xml:space="preserve">الأسبوع</t>
  </si>
  <si>
    <t xml:space="preserve">المهام</t>
  </si>
  <si>
    <t xml:space="preserve">المخرج</t>
  </si>
  <si>
    <t xml:space="preserve">الأسبوع 1 — التأسيس</t>
  </si>
  <si>
    <t xml:space="preserve">إدخال البيانات في الملف · تفعيل CAPI/Events API/Enhanced Conversions · توحيد UTM · مراجعة أحداث الشراء في كل منصة</t>
  </si>
  <si>
    <t xml:space="preserve">تتبّع موثوق + لوحة أرقام كاملة</t>
  </si>
  <si>
    <t xml:space="preserve">الأسبوع 2 — التنظيف</t>
  </si>
  <si>
    <t xml:space="preserve">إيقاف كل حملة «إنفاق بلا مبيعات» و«تحت التعادل» · دمج الحملات الصغيرة · قرار توحيد حسابَي Snapchat · استبعاد البراند من PMax</t>
  </si>
  <si>
    <t xml:space="preserve">توفير الهدر وإعادة توجيه الميزانية</t>
  </si>
  <si>
    <t xml:space="preserve">الأسبوع 3 — الاختبار</t>
  </si>
  <si>
    <t xml:space="preserve">إطلاق 10–15 إبداعاً جديداً (UGC/خطّافات) · اختبار عرض الحزمة/الشحن المجاني · تحسين صفحة الدفع</t>
  </si>
  <si>
    <t xml:space="preserve">فائزون جدد + رفع AOV</t>
  </si>
  <si>
    <t xml:space="preserve">الأسبوع 4 — التوسيع</t>
  </si>
  <si>
    <t xml:space="preserve">رفع ميزانية الفائزين 20% كل 72 ساعة · تفعيل حملات الريتارجتنج الديناميكية · تفعيل رسائل ما بعد الشراء والسلة المهجورة</t>
  </si>
  <si>
    <t xml:space="preserve">نمو مربح يقاس بـ MER</t>
  </si>
  <si>
    <t xml:space="preserve">قواعد القرار اليومية</t>
  </si>
  <si>
    <t xml:space="preserve">• لا تحكم على إعلان قبل إنفاق ضعف الـCPA المستهدف (الإعدادات B9).</t>
  </si>
  <si>
    <t xml:space="preserve">• ROAS ≥ المستهدف × 1.2 لمدة 3 أيام → زد الميزانية 20%.</t>
  </si>
  <si>
    <t xml:space="preserve">• ROAS بين التعادل والمستهدف → حسّن الإبداع/العرض ولا تزد الميزانية.</t>
  </si>
  <si>
    <t xml:space="preserve">• ROAS &lt; التعادل بعد الحد الأدنى للإنفاق → أوقف.</t>
  </si>
  <si>
    <t xml:space="preserve">• CTR أقل من المعيار → المشكلة في الإبداع. CTR جيد وتحويل ضعيف → المشكلة في الصفحة أو العرض.</t>
  </si>
  <si>
    <t xml:space="preserve">• Frequency &gt; 3 أسبوعياً على جمهور بارد → جدّد الإبداعات.</t>
  </si>
</sst>
</file>

<file path=xl/styles.xml><?xml version="1.0" encoding="utf-8"?>
<styleSheet xmlns="http://schemas.openxmlformats.org/spreadsheetml/2006/main">
  <numFmts count="5">
    <numFmt numFmtId="164" formatCode="General"/>
    <numFmt numFmtId="165" formatCode="0.00%;\-0.00%;\-"/>
    <numFmt numFmtId="166" formatCode="0.00\x;\-0.00\x;\-"/>
    <numFmt numFmtId="167" formatCode="#,##0.00;\(#,##0.00\);\-"/>
    <numFmt numFmtId="168" formatCode="#,##0;\(#,##0\);\-"/>
  </numFmts>
  <fonts count="19">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sz val="11"/>
      <color theme="1"/>
      <name val="Arial"/>
      <family val="0"/>
      <charset val="1"/>
    </font>
    <font>
      <i val="true"/>
      <sz val="10"/>
      <color rgb="FF595959"/>
      <name val="Arial"/>
      <family val="0"/>
      <charset val="1"/>
    </font>
    <font>
      <b val="true"/>
      <sz val="12"/>
      <color rgb="FF1F3864"/>
      <name val="Arial"/>
      <family val="0"/>
      <charset val="1"/>
    </font>
    <font>
      <sz val="11"/>
      <name val="Arial"/>
      <family val="0"/>
      <charset val="1"/>
    </font>
    <font>
      <sz val="10"/>
      <color rgb="FF000000"/>
      <name val="Arial"/>
      <family val="0"/>
      <charset val="1"/>
    </font>
    <font>
      <sz val="11"/>
      <color rgb="FF0000FF"/>
      <name val="Arial"/>
      <family val="0"/>
      <charset val="1"/>
    </font>
    <font>
      <b val="true"/>
      <sz val="11"/>
      <color rgb="FFFFFFFF"/>
      <name val="Arial"/>
      <family val="0"/>
      <charset val="1"/>
    </font>
    <font>
      <sz val="11"/>
      <color rgb="FF000000"/>
      <name val="Arial"/>
      <family val="0"/>
      <charset val="1"/>
    </font>
    <font>
      <b val="true"/>
      <sz val="11"/>
      <name val="Arial"/>
      <family val="0"/>
      <charset val="1"/>
    </font>
    <font>
      <i val="true"/>
      <sz val="11"/>
      <color rgb="FF595959"/>
      <name val="Arial"/>
      <family val="0"/>
      <charset val="1"/>
    </font>
    <font>
      <i val="true"/>
      <sz val="9"/>
      <color rgb="FF595959"/>
      <name val="Arial"/>
      <family val="0"/>
      <charset val="1"/>
    </font>
    <font>
      <b val="true"/>
      <sz val="11"/>
      <color rgb="FF000000"/>
      <name val="Arial"/>
      <family val="0"/>
      <charset val="1"/>
    </font>
    <font>
      <sz val="11"/>
      <color rgb="FF008000"/>
      <name val="Arial"/>
      <family val="0"/>
      <charset val="1"/>
    </font>
    <font>
      <b val="true"/>
      <sz val="11"/>
      <color rgb="FF008000"/>
      <name val="Arial"/>
      <family val="0"/>
      <charset val="1"/>
    </font>
  </fonts>
  <fills count="6">
    <fill>
      <patternFill patternType="none"/>
    </fill>
    <fill>
      <patternFill patternType="gray125"/>
    </fill>
    <fill>
      <patternFill patternType="solid">
        <fgColor rgb="FFFFF2CC"/>
        <bgColor rgb="FFFFEB9C"/>
      </patternFill>
    </fill>
    <fill>
      <patternFill patternType="solid">
        <fgColor rgb="FFFFEB9C"/>
        <bgColor rgb="FFFFF2CC"/>
      </patternFill>
    </fill>
    <fill>
      <patternFill patternType="solid">
        <fgColor rgb="FF1F3864"/>
        <bgColor rgb="FF333333"/>
      </patternFill>
    </fill>
    <fill>
      <patternFill patternType="solid">
        <fgColor rgb="FFD9E1F2"/>
        <bgColor rgb="FFC6EFCE"/>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right"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right" vertical="top" textRotation="0" wrapText="true" indent="0" shrinkToFit="false"/>
      <protection locked="true" hidden="false"/>
    </xf>
    <xf numFmtId="164" fontId="8" fillId="3" borderId="1" xfId="0" applyFont="true" applyBorder="true" applyAlignment="true" applyProtection="false">
      <alignment horizontal="right" vertical="top" textRotation="0" wrapText="tru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5" fontId="10" fillId="2" borderId="1" xfId="0" applyFont="true" applyBorder="true" applyAlignment="false" applyProtection="false">
      <alignment horizontal="general" vertical="bottom" textRotation="0" wrapText="false" indent="0" shrinkToFit="false"/>
      <protection locked="true" hidden="false"/>
    </xf>
    <xf numFmtId="166" fontId="10" fillId="2" borderId="1" xfId="0" applyFont="true" applyBorder="true" applyAlignment="false" applyProtection="false">
      <alignment horizontal="general" vertical="bottom" textRotation="0" wrapText="false" indent="0" shrinkToFit="false"/>
      <protection locked="true" hidden="false"/>
    </xf>
    <xf numFmtId="166" fontId="12" fillId="0" borderId="1" xfId="0" applyFont="true" applyBorder="true" applyAlignment="false" applyProtection="false">
      <alignment horizontal="general" vertical="bottom" textRotation="0" wrapText="false" indent="0" shrinkToFit="false"/>
      <protection locked="true" hidden="false"/>
    </xf>
    <xf numFmtId="167" fontId="10" fillId="2" borderId="1" xfId="0" applyFont="true" applyBorder="true" applyAlignment="false" applyProtection="false">
      <alignment horizontal="general" vertical="bottom" textRotation="0" wrapText="false" indent="0" shrinkToFit="false"/>
      <protection locked="true" hidden="false"/>
    </xf>
    <xf numFmtId="167" fontId="12" fillId="0" borderId="1"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8" fontId="10" fillId="2" borderId="1" xfId="0" applyFont="tru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64" fontId="16" fillId="0" borderId="1" xfId="0" applyFont="true" applyBorder="true" applyAlignment="false" applyProtection="false">
      <alignment horizontal="general" vertical="bottom" textRotation="0" wrapText="false" indent="0" shrinkToFit="false"/>
      <protection locked="true" hidden="false"/>
    </xf>
    <xf numFmtId="164" fontId="16" fillId="5" borderId="1" xfId="0" applyFont="true" applyBorder="true" applyAlignment="false" applyProtection="false">
      <alignment horizontal="general" vertical="bottom" textRotation="0" wrapText="false" indent="0" shrinkToFit="false"/>
      <protection locked="true" hidden="false"/>
    </xf>
    <xf numFmtId="168" fontId="16" fillId="5" borderId="1" xfId="0" applyFont="true" applyBorder="true" applyAlignment="false" applyProtection="false">
      <alignment horizontal="general" vertical="bottom" textRotation="0" wrapText="false" indent="0" shrinkToFit="false"/>
      <protection locked="true" hidden="false"/>
    </xf>
    <xf numFmtId="167" fontId="16" fillId="5" borderId="1" xfId="0" applyFont="true" applyBorder="true" applyAlignment="false" applyProtection="false">
      <alignment horizontal="general" vertical="bottom" textRotation="0" wrapText="false" indent="0" shrinkToFit="false"/>
      <protection locked="true" hidden="false"/>
    </xf>
    <xf numFmtId="165" fontId="16" fillId="5" borderId="1" xfId="0" applyFont="true" applyBorder="true" applyAlignment="false" applyProtection="false">
      <alignment horizontal="general" vertical="bottom" textRotation="0" wrapText="false" indent="0" shrinkToFit="false"/>
      <protection locked="true" hidden="false"/>
    </xf>
    <xf numFmtId="168" fontId="12" fillId="0" borderId="1" xfId="0" applyFont="true" applyBorder="true" applyAlignment="false" applyProtection="false">
      <alignment horizontal="general" vertical="bottom" textRotation="0" wrapText="false" indent="0" shrinkToFit="false"/>
      <protection locked="true" hidden="false"/>
    </xf>
    <xf numFmtId="166" fontId="16" fillId="5" borderId="1" xfId="0" applyFont="true" applyBorder="true" applyAlignment="false" applyProtection="false">
      <alignment horizontal="general" vertical="bottom" textRotation="0" wrapText="false" indent="0" shrinkToFit="false"/>
      <protection locked="true" hidden="false"/>
    </xf>
    <xf numFmtId="165" fontId="17" fillId="0" borderId="1" xfId="0" applyFont="true" applyBorder="true" applyAlignment="false" applyProtection="false">
      <alignment horizontal="general" vertical="bottom" textRotation="0" wrapText="false" indent="0" shrinkToFit="false"/>
      <protection locked="true" hidden="false"/>
    </xf>
    <xf numFmtId="167" fontId="17" fillId="0" borderId="1" xfId="0" applyFont="true" applyBorder="true" applyAlignment="false" applyProtection="false">
      <alignment horizontal="general" vertical="bottom" textRotation="0" wrapText="false" indent="0" shrinkToFit="false"/>
      <protection locked="true" hidden="false"/>
    </xf>
    <xf numFmtId="167" fontId="18" fillId="0" borderId="1" xfId="0" applyFont="true" applyBorder="true" applyAlignment="false" applyProtection="false">
      <alignment horizontal="general" vertical="bottom" textRotation="0" wrapText="false" indent="0" shrinkToFit="false"/>
      <protection locked="true" hidden="false"/>
    </xf>
    <xf numFmtId="167" fontId="16" fillId="0" borderId="1" xfId="0" applyFont="true" applyBorder="true" applyAlignment="false" applyProtection="false">
      <alignment horizontal="general" vertical="bottom" textRotation="0" wrapText="false" indent="0" shrinkToFit="false"/>
      <protection locked="true" hidden="false"/>
    </xf>
    <xf numFmtId="166" fontId="16" fillId="0" borderId="1" xfId="0" applyFont="true" applyBorder="true" applyAlignment="false" applyProtection="false">
      <alignment horizontal="general" vertical="bottom" textRotation="0" wrapText="false" indent="0" shrinkToFit="false"/>
      <protection locked="true" hidden="false"/>
    </xf>
    <xf numFmtId="165" fontId="16" fillId="0" borderId="1" xfId="0" applyFont="true" applyBorder="true" applyAlignment="false" applyProtection="false">
      <alignment horizontal="general" vertical="bottom" textRotation="0" wrapText="false" indent="0" shrinkToFit="false"/>
      <protection locked="true" hidden="false"/>
    </xf>
    <xf numFmtId="168" fontId="17" fillId="0" borderId="1" xfId="0" applyFont="true" applyBorder="true" applyAlignment="false" applyProtection="false">
      <alignment horizontal="general" vertical="bottom" textRotation="0" wrapText="fals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right" vertical="top" textRotation="0" wrapText="true" indent="0" shrinkToFit="false"/>
      <protection locked="true" hidden="false"/>
    </xf>
    <xf numFmtId="164" fontId="10" fillId="2" borderId="1" xfId="0" applyFont="true" applyBorder="true" applyAlignment="true" applyProtection="false">
      <alignment horizontal="right" vertical="top" textRotation="0" wrapText="true" indent="0" shrinkToFit="false"/>
      <protection locked="true" hidden="false"/>
    </xf>
    <xf numFmtId="164" fontId="16" fillId="0" borderId="1" xfId="0" applyFont="true" applyBorder="true" applyAlignment="true" applyProtection="false">
      <alignment horizontal="right"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1F3864"/>
          <bgColor rgb="FF000000"/>
        </patternFill>
      </fill>
    </dxf>
    <dxf>
      <fill>
        <patternFill patternType="solid">
          <fgColor rgb="FFFFF2CC"/>
          <bgColor rgb="FF000000"/>
        </patternFill>
      </fill>
    </dxf>
    <dxf>
      <fill>
        <patternFill patternType="solid">
          <fgColor rgb="FF0000FF"/>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bgColor rgb="FFC6EFCE"/>
        </patternFill>
      </fill>
    </dxf>
    <dxf>
      <fill>
        <patternFill>
          <bgColor rgb="FFFFC7CE"/>
        </patternFill>
      </fill>
    </dxf>
    <dxf>
      <fill>
        <patternFill>
          <bgColor rgb="FFFFEB9C"/>
        </patternFill>
      </fill>
    </dxf>
    <dxf>
      <font>
        <name val="Arial"/>
        <charset val="1"/>
        <family val="0"/>
        <color rgb="FFC00000"/>
      </font>
    </dxf>
    <dxf>
      <fill>
        <patternFill patternType="solid">
          <fgColor rgb="FFD9E1F2"/>
          <bgColor rgb="FF000000"/>
        </patternFill>
      </fill>
    </dxf>
    <dxf>
      <fill>
        <patternFill patternType="solid">
          <fgColor rgb="FFFFC7CE"/>
          <bgColor rgb="FF000000"/>
        </patternFill>
      </fill>
    </dxf>
    <dxf>
      <fill>
        <patternFill patternType="solid">
          <fgColor rgb="FFFFEB9C"/>
          <bgColor rgb="FF000000"/>
        </patternFill>
      </fill>
    </dxf>
    <dxf>
      <fill>
        <patternFill>
          <bgColor rgb="FFD9E1F2"/>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8"/>
  <sheetViews>
    <sheetView showFormulas="false" showGridLines="false" showRowColHeaders="true" showZeros="true" rightToLeft="tru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48"/>
    <col collapsed="false" customWidth="true" hidden="false" outlineLevel="0" max="4" min="4" style="0" width="45"/>
    <col collapsed="false" customWidth="true" hidden="false" outlineLevel="0" max="5" min="5" style="0" width="16"/>
    <col collapsed="false" customWidth="true" hidden="false" outlineLevel="0" max="6" min="6" style="0" width="14"/>
    <col collapsed="false" customWidth="true" hidden="false" outlineLevel="0" max="7" min="7" style="0" width="10"/>
    <col collapsed="false" customWidth="true" hidden="false" outlineLevel="0" max="14" min="8" style="0" width="11"/>
    <col collapsed="false" customWidth="true" hidden="false" outlineLevel="0" max="15" min="15" style="0" width="13"/>
  </cols>
  <sheetData>
    <row r="1" customFormat="false" ht="18.65" hidden="false" customHeight="false" outlineLevel="0" collapsed="false">
      <c r="A1" s="1" t="s">
        <v>0</v>
      </c>
      <c r="B1" s="2"/>
      <c r="C1" s="2"/>
      <c r="D1" s="2"/>
      <c r="E1" s="2"/>
      <c r="F1" s="2"/>
      <c r="G1" s="2"/>
      <c r="H1" s="2"/>
      <c r="I1" s="2"/>
      <c r="J1" s="2"/>
      <c r="K1" s="2"/>
      <c r="L1" s="2"/>
      <c r="M1" s="2"/>
      <c r="N1" s="2"/>
      <c r="O1" s="2"/>
    </row>
    <row r="2" customFormat="false" ht="15" hidden="false" customHeight="false" outlineLevel="0" collapsed="false">
      <c r="A2" s="3" t="s">
        <v>1</v>
      </c>
      <c r="B2" s="2"/>
      <c r="C2" s="2"/>
      <c r="D2" s="2"/>
      <c r="E2" s="2"/>
      <c r="F2" s="2"/>
      <c r="G2" s="2"/>
      <c r="H2" s="2"/>
      <c r="I2" s="2"/>
      <c r="J2" s="2"/>
      <c r="K2" s="2"/>
      <c r="L2" s="2"/>
      <c r="M2" s="2"/>
      <c r="N2" s="2"/>
      <c r="O2" s="2"/>
    </row>
    <row r="3" customFormat="false" ht="15" hidden="false" customHeight="false" outlineLevel="0" collapsed="false">
      <c r="A3" s="2"/>
      <c r="B3" s="2"/>
      <c r="C3" s="2"/>
      <c r="D3" s="2"/>
      <c r="E3" s="2"/>
      <c r="F3" s="2"/>
      <c r="G3" s="2"/>
      <c r="H3" s="2"/>
      <c r="I3" s="2"/>
      <c r="J3" s="2"/>
      <c r="K3" s="2"/>
      <c r="L3" s="2"/>
      <c r="M3" s="2"/>
      <c r="N3" s="2"/>
      <c r="O3" s="2"/>
    </row>
    <row r="4" customFormat="false" ht="15" hidden="false" customHeight="false" outlineLevel="0" collapsed="false">
      <c r="A4" s="4" t="s">
        <v>2</v>
      </c>
      <c r="B4" s="5"/>
      <c r="C4" s="2"/>
      <c r="D4" s="2"/>
      <c r="E4" s="2"/>
      <c r="F4" s="2"/>
      <c r="G4" s="2"/>
      <c r="H4" s="2"/>
      <c r="I4" s="2"/>
      <c r="J4" s="2"/>
      <c r="K4" s="2"/>
      <c r="L4" s="2"/>
      <c r="M4" s="2"/>
      <c r="N4" s="2"/>
      <c r="O4" s="2"/>
    </row>
    <row r="5" customFormat="false" ht="48" hidden="false" customHeight="true" outlineLevel="0" collapsed="false">
      <c r="A5" s="6"/>
      <c r="B5" s="5" t="s">
        <v>3</v>
      </c>
      <c r="C5" s="2"/>
      <c r="D5" s="2"/>
      <c r="E5" s="2"/>
      <c r="F5" s="2"/>
      <c r="G5" s="2"/>
      <c r="H5" s="2"/>
      <c r="I5" s="2"/>
      <c r="J5" s="2"/>
      <c r="K5" s="2"/>
      <c r="L5" s="2"/>
      <c r="M5" s="2"/>
      <c r="N5" s="2"/>
      <c r="O5" s="2"/>
    </row>
    <row r="6" customFormat="false" ht="15" hidden="false" customHeight="false" outlineLevel="0" collapsed="false">
      <c r="A6" s="4" t="s">
        <v>4</v>
      </c>
      <c r="B6" s="5"/>
      <c r="C6" s="2"/>
      <c r="D6" s="2"/>
      <c r="E6" s="2"/>
      <c r="F6" s="2"/>
      <c r="G6" s="2"/>
      <c r="H6" s="2"/>
      <c r="I6" s="2"/>
      <c r="J6" s="2"/>
      <c r="K6" s="2"/>
      <c r="L6" s="2"/>
      <c r="M6" s="2"/>
      <c r="N6" s="2"/>
      <c r="O6" s="2"/>
    </row>
    <row r="7" customFormat="false" ht="48" hidden="false" customHeight="true" outlineLevel="0" collapsed="false">
      <c r="A7" s="6" t="s">
        <v>5</v>
      </c>
      <c r="B7" s="5" t="s">
        <v>6</v>
      </c>
      <c r="C7" s="2"/>
      <c r="D7" s="2"/>
      <c r="E7" s="2"/>
      <c r="F7" s="2"/>
      <c r="G7" s="2"/>
      <c r="H7" s="2"/>
      <c r="I7" s="2"/>
      <c r="J7" s="2"/>
      <c r="K7" s="2"/>
      <c r="L7" s="2"/>
      <c r="M7" s="2"/>
      <c r="N7" s="2"/>
      <c r="O7" s="2"/>
    </row>
    <row r="8" customFormat="false" ht="39.55" hidden="false" customHeight="false" outlineLevel="0" collapsed="false">
      <c r="A8" s="6" t="s">
        <v>7</v>
      </c>
      <c r="B8" s="5" t="s">
        <v>8</v>
      </c>
      <c r="C8" s="2"/>
      <c r="D8" s="2"/>
      <c r="E8" s="2"/>
      <c r="F8" s="2"/>
      <c r="G8" s="2"/>
      <c r="H8" s="2"/>
      <c r="I8" s="2"/>
      <c r="J8" s="2"/>
      <c r="K8" s="2"/>
      <c r="L8" s="2"/>
      <c r="M8" s="2"/>
      <c r="N8" s="2"/>
      <c r="O8" s="2"/>
    </row>
    <row r="9" customFormat="false" ht="48" hidden="false" customHeight="true" outlineLevel="0" collapsed="false">
      <c r="A9" s="6" t="s">
        <v>9</v>
      </c>
      <c r="B9" s="5" t="s">
        <v>10</v>
      </c>
      <c r="C9" s="2"/>
      <c r="D9" s="2"/>
      <c r="E9" s="2"/>
      <c r="F9" s="2"/>
      <c r="G9" s="2"/>
      <c r="H9" s="2"/>
      <c r="I9" s="2"/>
      <c r="J9" s="2"/>
      <c r="K9" s="2"/>
      <c r="L9" s="2"/>
      <c r="M9" s="2"/>
      <c r="N9" s="2"/>
      <c r="O9" s="2"/>
    </row>
    <row r="10" customFormat="false" ht="39.55" hidden="false" customHeight="false" outlineLevel="0" collapsed="false">
      <c r="A10" s="6" t="s">
        <v>11</v>
      </c>
      <c r="B10" s="5" t="s">
        <v>12</v>
      </c>
      <c r="C10" s="2"/>
      <c r="D10" s="2"/>
      <c r="E10" s="2"/>
      <c r="F10" s="2"/>
      <c r="G10" s="2"/>
      <c r="H10" s="2"/>
      <c r="I10" s="2"/>
      <c r="J10" s="2"/>
      <c r="K10" s="2"/>
      <c r="L10" s="2"/>
      <c r="M10" s="2"/>
      <c r="N10" s="2"/>
      <c r="O10" s="2"/>
    </row>
    <row r="11" customFormat="false" ht="48" hidden="false" customHeight="true" outlineLevel="0" collapsed="false">
      <c r="A11" s="6" t="s">
        <v>13</v>
      </c>
      <c r="B11" s="5" t="s">
        <v>14</v>
      </c>
      <c r="C11" s="2"/>
      <c r="D11" s="2"/>
      <c r="E11" s="2"/>
      <c r="F11" s="2"/>
      <c r="G11" s="2"/>
      <c r="H11" s="2"/>
      <c r="I11" s="2"/>
      <c r="J11" s="2"/>
      <c r="K11" s="2"/>
      <c r="L11" s="2"/>
      <c r="M11" s="2"/>
      <c r="N11" s="2"/>
      <c r="O11" s="2"/>
    </row>
    <row r="12" customFormat="false" ht="15" hidden="false" customHeight="false" outlineLevel="0" collapsed="false">
      <c r="A12" s="4" t="s">
        <v>15</v>
      </c>
      <c r="B12" s="5"/>
      <c r="C12" s="2"/>
      <c r="D12" s="2"/>
      <c r="E12" s="2"/>
      <c r="F12" s="2"/>
      <c r="G12" s="2"/>
      <c r="H12" s="2"/>
      <c r="I12" s="2"/>
      <c r="J12" s="2"/>
      <c r="K12" s="2"/>
      <c r="L12" s="2"/>
      <c r="M12" s="2"/>
      <c r="N12" s="2"/>
      <c r="O12" s="2"/>
    </row>
    <row r="13" customFormat="false" ht="15" hidden="false" customHeight="false" outlineLevel="0" collapsed="false">
      <c r="A13" s="7" t="s">
        <v>16</v>
      </c>
      <c r="B13" s="5" t="s">
        <v>17</v>
      </c>
      <c r="C13" s="2"/>
      <c r="D13" s="2"/>
      <c r="E13" s="2"/>
      <c r="F13" s="2"/>
      <c r="G13" s="2"/>
      <c r="H13" s="2"/>
      <c r="I13" s="2"/>
      <c r="J13" s="2"/>
      <c r="K13" s="2"/>
      <c r="L13" s="2"/>
      <c r="M13" s="2"/>
      <c r="N13" s="2"/>
      <c r="O13" s="2"/>
    </row>
    <row r="14" customFormat="false" ht="15" hidden="false" customHeight="false" outlineLevel="0" collapsed="false">
      <c r="A14" s="6" t="s">
        <v>18</v>
      </c>
      <c r="B14" s="5" t="s">
        <v>19</v>
      </c>
      <c r="C14" s="2"/>
      <c r="D14" s="2"/>
      <c r="E14" s="2"/>
      <c r="F14" s="2"/>
      <c r="G14" s="2"/>
      <c r="H14" s="2"/>
      <c r="I14" s="2"/>
      <c r="J14" s="2"/>
      <c r="K14" s="2"/>
      <c r="L14" s="2"/>
      <c r="M14" s="2"/>
      <c r="N14" s="2"/>
      <c r="O14" s="2"/>
    </row>
    <row r="15" customFormat="false" ht="15" hidden="false" customHeight="false" outlineLevel="0" collapsed="false">
      <c r="A15" s="8" t="s">
        <v>20</v>
      </c>
      <c r="B15" s="5" t="s">
        <v>21</v>
      </c>
      <c r="C15" s="2"/>
      <c r="D15" s="2"/>
      <c r="E15" s="2"/>
      <c r="F15" s="2"/>
      <c r="G15" s="2"/>
      <c r="H15" s="2"/>
      <c r="I15" s="2"/>
      <c r="J15" s="2"/>
      <c r="K15" s="2"/>
      <c r="L15" s="2"/>
      <c r="M15" s="2"/>
      <c r="N15" s="2"/>
      <c r="O15" s="2"/>
    </row>
    <row r="16" customFormat="false" ht="15" hidden="false" customHeight="false" outlineLevel="0" collapsed="false">
      <c r="A16" s="2"/>
      <c r="B16" s="2"/>
      <c r="C16" s="2"/>
      <c r="D16" s="2"/>
      <c r="E16" s="2"/>
      <c r="F16" s="2"/>
      <c r="G16" s="2"/>
      <c r="H16" s="2"/>
      <c r="I16" s="2"/>
      <c r="J16" s="2"/>
      <c r="K16" s="2"/>
      <c r="L16" s="2"/>
      <c r="M16" s="2"/>
      <c r="N16" s="2"/>
      <c r="O16" s="2"/>
    </row>
    <row r="17" customFormat="false" ht="15" hidden="false" customHeight="false" outlineLevel="0" collapsed="false">
      <c r="A17" s="4" t="s">
        <v>22</v>
      </c>
      <c r="B17" s="2"/>
      <c r="C17" s="2"/>
      <c r="D17" s="2"/>
      <c r="E17" s="2"/>
      <c r="F17" s="2"/>
      <c r="G17" s="2"/>
      <c r="H17" s="2"/>
      <c r="I17" s="2"/>
      <c r="J17" s="2"/>
      <c r="K17" s="2"/>
      <c r="L17" s="2"/>
      <c r="M17" s="2"/>
      <c r="N17" s="2"/>
      <c r="O17" s="2"/>
    </row>
    <row r="18" customFormat="false" ht="36" hidden="false" customHeight="true" outlineLevel="0" collapsed="false">
      <c r="A18" s="9" t="s">
        <v>23</v>
      </c>
      <c r="B18" s="9" t="s">
        <v>24</v>
      </c>
      <c r="C18" s="9" t="s">
        <v>25</v>
      </c>
      <c r="D18" s="9" t="s">
        <v>26</v>
      </c>
      <c r="E18" s="9" t="s">
        <v>27</v>
      </c>
      <c r="F18" s="2"/>
      <c r="G18" s="2"/>
      <c r="H18" s="2"/>
      <c r="I18" s="2"/>
      <c r="J18" s="2"/>
      <c r="K18" s="2"/>
      <c r="L18" s="2"/>
      <c r="M18" s="2"/>
      <c r="N18" s="2"/>
      <c r="O18" s="2"/>
    </row>
    <row r="19" customFormat="false" ht="45" hidden="false" customHeight="true" outlineLevel="0" collapsed="false">
      <c r="A19" s="10" t="s">
        <v>28</v>
      </c>
      <c r="B19" s="10" t="s">
        <v>29</v>
      </c>
      <c r="C19" s="10" t="s">
        <v>30</v>
      </c>
      <c r="D19" s="10" t="s">
        <v>31</v>
      </c>
      <c r="E19" s="11" t="s">
        <v>32</v>
      </c>
      <c r="F19" s="2"/>
      <c r="G19" s="2"/>
      <c r="H19" s="2"/>
      <c r="I19" s="2"/>
      <c r="J19" s="2"/>
      <c r="K19" s="2"/>
      <c r="L19" s="2"/>
      <c r="M19" s="2"/>
      <c r="N19" s="2"/>
      <c r="O19" s="2"/>
    </row>
    <row r="20" customFormat="false" ht="45" hidden="false" customHeight="true" outlineLevel="0" collapsed="false">
      <c r="A20" s="10" t="s">
        <v>33</v>
      </c>
      <c r="B20" s="10" t="s">
        <v>34</v>
      </c>
      <c r="C20" s="10" t="s">
        <v>35</v>
      </c>
      <c r="D20" s="10" t="s">
        <v>36</v>
      </c>
      <c r="E20" s="11" t="s">
        <v>32</v>
      </c>
      <c r="F20" s="2"/>
      <c r="G20" s="2"/>
      <c r="H20" s="2"/>
      <c r="I20" s="2"/>
      <c r="J20" s="2"/>
      <c r="K20" s="2"/>
      <c r="L20" s="2"/>
      <c r="M20" s="2"/>
      <c r="N20" s="2"/>
      <c r="O20" s="2"/>
    </row>
    <row r="21" customFormat="false" ht="45" hidden="false" customHeight="true" outlineLevel="0" collapsed="false">
      <c r="A21" s="10" t="s">
        <v>37</v>
      </c>
      <c r="B21" s="10" t="s">
        <v>38</v>
      </c>
      <c r="C21" s="10" t="s">
        <v>39</v>
      </c>
      <c r="D21" s="10" t="s">
        <v>40</v>
      </c>
      <c r="E21" s="11" t="s">
        <v>32</v>
      </c>
      <c r="F21" s="2"/>
      <c r="G21" s="2"/>
      <c r="H21" s="2"/>
      <c r="I21" s="2"/>
      <c r="J21" s="2"/>
      <c r="K21" s="2"/>
      <c r="L21" s="2"/>
      <c r="M21" s="2"/>
      <c r="N21" s="2"/>
      <c r="O21" s="2"/>
    </row>
    <row r="22" customFormat="false" ht="45" hidden="false" customHeight="true" outlineLevel="0" collapsed="false">
      <c r="A22" s="10" t="s">
        <v>41</v>
      </c>
      <c r="B22" s="10" t="s">
        <v>42</v>
      </c>
      <c r="C22" s="10" t="s">
        <v>43</v>
      </c>
      <c r="D22" s="10" t="s">
        <v>44</v>
      </c>
      <c r="E22" s="11" t="s">
        <v>32</v>
      </c>
      <c r="F22" s="2"/>
      <c r="G22" s="2"/>
      <c r="H22" s="2"/>
      <c r="I22" s="2"/>
      <c r="J22" s="2"/>
      <c r="K22" s="2"/>
      <c r="L22" s="2"/>
      <c r="M22" s="2"/>
      <c r="N22" s="2"/>
      <c r="O22" s="2"/>
    </row>
    <row r="23" customFormat="false" ht="45" hidden="false" customHeight="true" outlineLevel="0" collapsed="false">
      <c r="A23" s="10" t="s">
        <v>45</v>
      </c>
      <c r="B23" s="10" t="s">
        <v>46</v>
      </c>
      <c r="C23" s="10" t="s">
        <v>47</v>
      </c>
      <c r="D23" s="10" t="s">
        <v>44</v>
      </c>
      <c r="E23" s="11" t="s">
        <v>32</v>
      </c>
      <c r="F23" s="2"/>
      <c r="G23" s="2"/>
      <c r="H23" s="2"/>
      <c r="I23" s="2"/>
      <c r="J23" s="2"/>
      <c r="K23" s="2"/>
      <c r="L23" s="2"/>
      <c r="M23" s="2"/>
      <c r="N23" s="2"/>
      <c r="O23" s="2"/>
    </row>
    <row r="24" customFormat="false" ht="45" hidden="false" customHeight="true" outlineLevel="0" collapsed="false">
      <c r="A24" s="10" t="s">
        <v>48</v>
      </c>
      <c r="B24" s="10" t="s">
        <v>49</v>
      </c>
      <c r="C24" s="10" t="s">
        <v>50</v>
      </c>
      <c r="D24" s="10" t="s">
        <v>51</v>
      </c>
      <c r="E24" s="11" t="s">
        <v>32</v>
      </c>
      <c r="F24" s="2"/>
      <c r="G24" s="2"/>
      <c r="H24" s="2"/>
      <c r="I24" s="2"/>
      <c r="J24" s="2"/>
      <c r="K24" s="2"/>
      <c r="L24" s="2"/>
      <c r="M24" s="2"/>
      <c r="N24" s="2"/>
      <c r="O24" s="2"/>
    </row>
    <row r="25" customFormat="false" ht="15" hidden="false" customHeight="false" outlineLevel="0" collapsed="false">
      <c r="A25" s="2"/>
      <c r="B25" s="2"/>
      <c r="C25" s="2"/>
      <c r="D25" s="2"/>
      <c r="E25" s="2"/>
      <c r="F25" s="2"/>
      <c r="G25" s="2"/>
      <c r="H25" s="2"/>
      <c r="I25" s="2"/>
      <c r="J25" s="2"/>
      <c r="K25" s="2"/>
      <c r="L25" s="2"/>
      <c r="M25" s="2"/>
      <c r="N25" s="2"/>
      <c r="O25" s="2"/>
    </row>
    <row r="26" customFormat="false" ht="15" hidden="false" customHeight="false" outlineLevel="0" collapsed="false">
      <c r="A26" s="4" t="s">
        <v>52</v>
      </c>
      <c r="B26" s="2"/>
      <c r="C26" s="2"/>
      <c r="D26" s="2"/>
      <c r="E26" s="2"/>
      <c r="F26" s="2"/>
      <c r="G26" s="2"/>
      <c r="H26" s="2"/>
      <c r="I26" s="2"/>
      <c r="J26" s="2"/>
      <c r="K26" s="2"/>
      <c r="L26" s="2"/>
      <c r="M26" s="2"/>
      <c r="N26" s="2"/>
      <c r="O26" s="2"/>
    </row>
    <row r="27" customFormat="false" ht="36" hidden="false" customHeight="true" outlineLevel="0" collapsed="false">
      <c r="A27" s="9" t="s">
        <v>53</v>
      </c>
      <c r="B27" s="9" t="s">
        <v>54</v>
      </c>
      <c r="C27" s="9" t="s">
        <v>55</v>
      </c>
      <c r="D27" s="9" t="s">
        <v>56</v>
      </c>
      <c r="E27" s="9" t="s">
        <v>27</v>
      </c>
      <c r="F27" s="9" t="s">
        <v>57</v>
      </c>
      <c r="G27" s="9" t="s">
        <v>58</v>
      </c>
      <c r="H27" s="9" t="s">
        <v>59</v>
      </c>
      <c r="I27" s="9" t="s">
        <v>60</v>
      </c>
      <c r="J27" s="9" t="s">
        <v>61</v>
      </c>
      <c r="K27" s="9" t="s">
        <v>62</v>
      </c>
      <c r="L27" s="9" t="s">
        <v>63</v>
      </c>
      <c r="M27" s="9" t="s">
        <v>64</v>
      </c>
      <c r="N27" s="9" t="s">
        <v>65</v>
      </c>
      <c r="O27" s="9" t="s">
        <v>66</v>
      </c>
    </row>
    <row r="28" customFormat="false" ht="15" hidden="false" customHeight="false" outlineLevel="0" collapsed="false">
      <c r="A28" s="12" t="s">
        <v>67</v>
      </c>
      <c r="B28" s="12" t="s">
        <v>68</v>
      </c>
      <c r="C28" s="12" t="s">
        <v>69</v>
      </c>
      <c r="D28" s="12" t="s">
        <v>70</v>
      </c>
      <c r="E28" s="12" t="s">
        <v>71</v>
      </c>
      <c r="F28" s="12" t="s">
        <v>72</v>
      </c>
      <c r="G28" s="12" t="s">
        <v>73</v>
      </c>
      <c r="H28" s="12" t="n">
        <v>1250.5</v>
      </c>
      <c r="I28" s="12" t="n">
        <v>185000</v>
      </c>
      <c r="J28" s="12" t="n">
        <v>96000</v>
      </c>
      <c r="K28" s="12" t="n">
        <v>2400</v>
      </c>
      <c r="L28" s="12" t="n">
        <v>210</v>
      </c>
      <c r="M28" s="12" t="n">
        <v>95</v>
      </c>
      <c r="N28" s="12" t="n">
        <v>38</v>
      </c>
      <c r="O28" s="12" t="n">
        <v>5320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3" min="2" style="0" width="16"/>
    <col collapsed="false" customWidth="true" hidden="false" outlineLevel="0" max="4" min="4" style="0" width="18"/>
    <col collapsed="false" customWidth="true" hidden="false" outlineLevel="0" max="5" min="5" style="0" width="60"/>
  </cols>
  <sheetData>
    <row r="1" customFormat="false" ht="19.7" hidden="false" customHeight="false" outlineLevel="0" collapsed="false">
      <c r="A1" s="1" t="s">
        <v>74</v>
      </c>
      <c r="B1" s="2"/>
      <c r="C1" s="2"/>
      <c r="D1" s="2"/>
      <c r="E1" s="2"/>
    </row>
    <row r="2" customFormat="false" ht="15" hidden="false" customHeight="false" outlineLevel="0" collapsed="false">
      <c r="A2" s="3" t="s">
        <v>75</v>
      </c>
      <c r="B2" s="2"/>
      <c r="C2" s="2"/>
      <c r="D2" s="2"/>
      <c r="E2" s="2"/>
    </row>
    <row r="3" customFormat="false" ht="15" hidden="false" customHeight="false" outlineLevel="0" collapsed="false">
      <c r="A3" s="2"/>
      <c r="B3" s="2"/>
      <c r="C3" s="2"/>
      <c r="D3" s="2"/>
      <c r="E3" s="2"/>
    </row>
    <row r="4" customFormat="false" ht="15" hidden="false" customHeight="false" outlineLevel="0" collapsed="false">
      <c r="A4" s="13" t="s">
        <v>76</v>
      </c>
      <c r="B4" s="14" t="s">
        <v>77</v>
      </c>
      <c r="C4" s="15" t="s">
        <v>78</v>
      </c>
      <c r="D4" s="2"/>
      <c r="E4" s="2"/>
    </row>
    <row r="5" customFormat="false" ht="15" hidden="false" customHeight="false" outlineLevel="0" collapsed="false">
      <c r="A5" s="13" t="s">
        <v>79</v>
      </c>
      <c r="B5" s="16" t="n">
        <v>0.4</v>
      </c>
      <c r="C5" s="15" t="s">
        <v>80</v>
      </c>
      <c r="D5" s="2"/>
      <c r="E5" s="2"/>
    </row>
    <row r="6" customFormat="false" ht="15" hidden="false" customHeight="false" outlineLevel="0" collapsed="false">
      <c r="A6" s="13" t="s">
        <v>81</v>
      </c>
      <c r="B6" s="17" t="n">
        <v>3</v>
      </c>
      <c r="C6" s="15" t="s">
        <v>82</v>
      </c>
      <c r="D6" s="2"/>
      <c r="E6" s="2"/>
    </row>
    <row r="7" customFormat="false" ht="15" hidden="false" customHeight="false" outlineLevel="0" collapsed="false">
      <c r="A7" s="13" t="s">
        <v>83</v>
      </c>
      <c r="B7" s="18" t="n">
        <f aca="false">IFERROR(1/B5,0)</f>
        <v>2.5</v>
      </c>
      <c r="C7" s="15" t="s">
        <v>84</v>
      </c>
      <c r="D7" s="2"/>
      <c r="E7" s="2"/>
    </row>
    <row r="8" customFormat="false" ht="15" hidden="false" customHeight="false" outlineLevel="0" collapsed="false">
      <c r="A8" s="13" t="s">
        <v>85</v>
      </c>
      <c r="B8" s="19" t="n">
        <v>60</v>
      </c>
      <c r="C8" s="15" t="s">
        <v>86</v>
      </c>
      <c r="D8" s="2"/>
      <c r="E8" s="2"/>
    </row>
    <row r="9" customFormat="false" ht="15" hidden="false" customHeight="false" outlineLevel="0" collapsed="false">
      <c r="A9" s="13" t="s">
        <v>87</v>
      </c>
      <c r="B9" s="20" t="n">
        <f aca="false">B8*2</f>
        <v>120</v>
      </c>
      <c r="C9" s="15" t="s">
        <v>88</v>
      </c>
      <c r="D9" s="2"/>
      <c r="E9" s="2"/>
    </row>
    <row r="10" customFormat="false" ht="15" hidden="false" customHeight="false" outlineLevel="0" collapsed="false">
      <c r="A10" s="13" t="s">
        <v>89</v>
      </c>
      <c r="B10" s="16" t="n">
        <v>0.2</v>
      </c>
      <c r="C10" s="15" t="s">
        <v>90</v>
      </c>
      <c r="D10" s="2"/>
      <c r="E10" s="2"/>
    </row>
    <row r="11" customFormat="false" ht="15" hidden="false" customHeight="false" outlineLevel="0" collapsed="false">
      <c r="A11" s="2"/>
      <c r="B11" s="2"/>
      <c r="C11" s="2"/>
      <c r="D11" s="2"/>
      <c r="E11" s="2"/>
    </row>
    <row r="12" customFormat="false" ht="15" hidden="false" customHeight="false" outlineLevel="0" collapsed="false">
      <c r="A12" s="2"/>
      <c r="B12" s="2"/>
      <c r="C12" s="2"/>
      <c r="D12" s="2"/>
      <c r="E12" s="2"/>
    </row>
    <row r="13" customFormat="false" ht="15" hidden="false" customHeight="false" outlineLevel="0" collapsed="false">
      <c r="A13" s="4" t="s">
        <v>91</v>
      </c>
      <c r="B13" s="2"/>
      <c r="C13" s="2"/>
      <c r="D13" s="2"/>
      <c r="E13" s="2"/>
    </row>
    <row r="14" customFormat="false" ht="36" hidden="false" customHeight="true" outlineLevel="0" collapsed="false">
      <c r="A14" s="9" t="s">
        <v>53</v>
      </c>
      <c r="B14" s="9" t="s">
        <v>92</v>
      </c>
      <c r="C14" s="9" t="s">
        <v>93</v>
      </c>
      <c r="D14" s="9" t="s">
        <v>94</v>
      </c>
      <c r="E14" s="9" t="s">
        <v>95</v>
      </c>
    </row>
    <row r="15" customFormat="false" ht="15" hidden="false" customHeight="false" outlineLevel="0" collapsed="false">
      <c r="A15" s="12" t="s">
        <v>67</v>
      </c>
      <c r="B15" s="16" t="n">
        <v>0.01</v>
      </c>
      <c r="C15" s="19" t="n">
        <v>30</v>
      </c>
      <c r="D15" s="16" t="n">
        <v>0.015</v>
      </c>
      <c r="E15" s="12" t="s">
        <v>96</v>
      </c>
    </row>
    <row r="16" customFormat="false" ht="15" hidden="false" customHeight="false" outlineLevel="0" collapsed="false">
      <c r="A16" s="12" t="s">
        <v>97</v>
      </c>
      <c r="B16" s="16" t="n">
        <v>0.008</v>
      </c>
      <c r="C16" s="19" t="n">
        <v>25</v>
      </c>
      <c r="D16" s="16" t="n">
        <v>0.01</v>
      </c>
      <c r="E16" s="12" t="s">
        <v>98</v>
      </c>
    </row>
    <row r="17" customFormat="false" ht="15" hidden="false" customHeight="false" outlineLevel="0" collapsed="false">
      <c r="A17" s="12" t="s">
        <v>99</v>
      </c>
      <c r="B17" s="16" t="n">
        <v>0.006</v>
      </c>
      <c r="C17" s="19" t="n">
        <v>15</v>
      </c>
      <c r="D17" s="16" t="n">
        <v>0.008</v>
      </c>
      <c r="E17" s="12" t="s">
        <v>100</v>
      </c>
    </row>
    <row r="18" customFormat="false" ht="15" hidden="false" customHeight="false" outlineLevel="0" collapsed="false">
      <c r="A18" s="12" t="s">
        <v>48</v>
      </c>
      <c r="B18" s="16" t="n">
        <v>0.04</v>
      </c>
      <c r="C18" s="19" t="n">
        <v>60</v>
      </c>
      <c r="D18" s="16" t="n">
        <v>0.03</v>
      </c>
      <c r="E18" s="12" t="s">
        <v>101</v>
      </c>
    </row>
    <row r="19" customFormat="false" ht="15" hidden="false" customHeight="false" outlineLevel="0" collapsed="false">
      <c r="A19" s="2"/>
      <c r="B19" s="2"/>
      <c r="C19" s="2"/>
      <c r="D19" s="2"/>
      <c r="E19" s="2"/>
    </row>
    <row r="20" customFormat="false" ht="15" hidden="false" customHeight="false" outlineLevel="0" collapsed="false">
      <c r="A20" s="21" t="s">
        <v>102</v>
      </c>
      <c r="B20" s="2"/>
      <c r="C20" s="2"/>
      <c r="D20" s="2"/>
      <c r="E20"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03"/>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2"/>
    <col collapsed="false" customWidth="true" hidden="false" outlineLevel="0" max="4" min="4" style="0" width="12"/>
    <col collapsed="false" customWidth="true" hidden="false" outlineLevel="0" max="5" min="5" style="0" width="10"/>
    <col collapsed="false" customWidth="true" hidden="false" outlineLevel="0" max="6" min="6" style="0" width="12"/>
    <col collapsed="false" customWidth="true" hidden="false" outlineLevel="0" max="7" min="7" style="0" width="10"/>
    <col collapsed="false" customWidth="true" hidden="false" outlineLevel="0" max="10" min="8" style="0" width="12"/>
    <col collapsed="false" customWidth="true" hidden="false" outlineLevel="0" max="14" min="11" style="0" width="10"/>
    <col collapsed="false" customWidth="true" hidden="false" outlineLevel="0" max="15" min="15" style="0" width="13"/>
    <col collapsed="false" customWidth="true" hidden="false" outlineLevel="0" max="18" min="16" style="0" width="9"/>
    <col collapsed="false" customWidth="true" hidden="false" outlineLevel="0" max="20" min="19" style="0" width="10"/>
    <col collapsed="false" customWidth="true" hidden="false" outlineLevel="0" max="21" min="21" style="0" width="9"/>
    <col collapsed="false" customWidth="true" hidden="false" outlineLevel="0" max="22" min="22" style="0" width="11"/>
    <col collapsed="false" customWidth="true" hidden="false" outlineLevel="0" max="23" min="23" style="0" width="13"/>
    <col collapsed="false" customWidth="true" hidden="false" outlineLevel="0" max="24" min="24" style="0" width="11"/>
    <col collapsed="false" customWidth="true" hidden="false" outlineLevel="0" max="25" min="25" style="0" width="38"/>
  </cols>
  <sheetData>
    <row r="1" customFormat="false" ht="18.65" hidden="false" customHeight="false" outlineLevel="0" collapsed="false">
      <c r="A1" s="1" t="s">
        <v>103</v>
      </c>
      <c r="B1" s="2"/>
      <c r="C1" s="2"/>
      <c r="D1" s="2"/>
      <c r="E1" s="2"/>
      <c r="F1" s="2"/>
      <c r="G1" s="2"/>
      <c r="H1" s="2"/>
      <c r="I1" s="2"/>
      <c r="J1" s="2"/>
      <c r="K1" s="2"/>
      <c r="L1" s="2"/>
      <c r="M1" s="2"/>
      <c r="N1" s="2"/>
      <c r="O1" s="2"/>
      <c r="P1" s="2"/>
      <c r="Q1" s="2"/>
      <c r="R1" s="2"/>
      <c r="S1" s="2"/>
      <c r="T1" s="2"/>
      <c r="U1" s="2"/>
      <c r="V1" s="2"/>
      <c r="W1" s="2"/>
      <c r="X1" s="2"/>
      <c r="Y1" s="2"/>
    </row>
    <row r="2" customFormat="false" ht="15" hidden="false" customHeight="false" outlineLevel="0" collapsed="false">
      <c r="A2" s="3" t="s">
        <v>104</v>
      </c>
      <c r="B2" s="2"/>
      <c r="C2" s="2"/>
      <c r="D2" s="2"/>
      <c r="E2" s="2"/>
      <c r="F2" s="2"/>
      <c r="G2" s="2"/>
      <c r="H2" s="2"/>
      <c r="I2" s="2"/>
      <c r="J2" s="2"/>
      <c r="K2" s="2"/>
      <c r="L2" s="2"/>
      <c r="M2" s="2"/>
      <c r="N2" s="2"/>
      <c r="O2" s="2"/>
      <c r="P2" s="2"/>
      <c r="Q2" s="2"/>
      <c r="R2" s="2"/>
      <c r="S2" s="2"/>
      <c r="T2" s="2"/>
      <c r="U2" s="2"/>
      <c r="V2" s="2"/>
      <c r="W2" s="2"/>
      <c r="X2" s="2"/>
      <c r="Y2" s="2"/>
    </row>
    <row r="3" customFormat="false" ht="36" hidden="false" customHeight="true" outlineLevel="0" collapsed="false">
      <c r="A3" s="9" t="s">
        <v>53</v>
      </c>
      <c r="B3" s="9" t="s">
        <v>54</v>
      </c>
      <c r="C3" s="9" t="s">
        <v>55</v>
      </c>
      <c r="D3" s="9" t="s">
        <v>56</v>
      </c>
      <c r="E3" s="9" t="s">
        <v>27</v>
      </c>
      <c r="F3" s="9" t="s">
        <v>57</v>
      </c>
      <c r="G3" s="9" t="s">
        <v>58</v>
      </c>
      <c r="H3" s="9" t="s">
        <v>59</v>
      </c>
      <c r="I3" s="9" t="s">
        <v>60</v>
      </c>
      <c r="J3" s="9" t="s">
        <v>61</v>
      </c>
      <c r="K3" s="9" t="s">
        <v>62</v>
      </c>
      <c r="L3" s="9" t="s">
        <v>63</v>
      </c>
      <c r="M3" s="9" t="s">
        <v>64</v>
      </c>
      <c r="N3" s="9" t="s">
        <v>65</v>
      </c>
      <c r="O3" s="9" t="s">
        <v>66</v>
      </c>
      <c r="P3" s="9" t="s">
        <v>105</v>
      </c>
      <c r="Q3" s="9" t="s">
        <v>106</v>
      </c>
      <c r="R3" s="9" t="s">
        <v>107</v>
      </c>
      <c r="S3" s="9" t="s">
        <v>108</v>
      </c>
      <c r="T3" s="9" t="s">
        <v>109</v>
      </c>
      <c r="U3" s="9" t="s">
        <v>110</v>
      </c>
      <c r="V3" s="9" t="s">
        <v>111</v>
      </c>
      <c r="W3" s="9" t="s">
        <v>112</v>
      </c>
      <c r="X3" s="9" t="s">
        <v>113</v>
      </c>
      <c r="Y3" s="9" t="s">
        <v>114</v>
      </c>
    </row>
    <row r="4" customFormat="false" ht="15" hidden="false" customHeight="false" outlineLevel="0" collapsed="false">
      <c r="A4" s="14"/>
      <c r="B4" s="14"/>
      <c r="C4" s="14"/>
      <c r="D4" s="14"/>
      <c r="E4" s="14"/>
      <c r="F4" s="14"/>
      <c r="G4" s="14"/>
      <c r="H4" s="19"/>
      <c r="I4" s="22"/>
      <c r="J4" s="22"/>
      <c r="K4" s="22"/>
      <c r="L4" s="22"/>
      <c r="M4" s="22"/>
      <c r="N4" s="22"/>
      <c r="O4" s="19"/>
      <c r="P4" s="23" t="str">
        <f aca="false">IF(I4&gt;0,K4/I4,"")</f>
        <v/>
      </c>
      <c r="Q4" s="20" t="str">
        <f aca="false">IF(K4&gt;0,H4/K4,"")</f>
        <v/>
      </c>
      <c r="R4" s="20" t="str">
        <f aca="false">IF(I4&gt;0,H4/I4*1000,"")</f>
        <v/>
      </c>
      <c r="S4" s="23" t="str">
        <f aca="false">IF(K4&gt;0,N4/K4,"")</f>
        <v/>
      </c>
      <c r="T4" s="20" t="str">
        <f aca="false">IF(N4&gt;0,H4/N4,"")</f>
        <v/>
      </c>
      <c r="U4" s="18" t="str">
        <f aca="false">IF(H4&gt;0,O4/H4,"")</f>
        <v/>
      </c>
      <c r="V4" s="20" t="str">
        <f aca="false">IF(N4&gt;0,O4/N4,"")</f>
        <v/>
      </c>
      <c r="W4" s="20" t="str">
        <f aca="false">IF(H4&gt;0,O4*الإعدادات!$B$5-H4,"")</f>
        <v/>
      </c>
      <c r="X4" s="23" t="str">
        <f aca="false">IF(AND(I4&gt;0,A4&lt;&gt;""),P4-IFERROR(INDEX(الإعدادات!$B$15:$B$18,MATCH(A4,الإعدادات!$A$15:$A$18,0)),0),"")</f>
        <v/>
      </c>
      <c r="Y4" s="12" t="str">
        <f aca="false">IF(H4="","",IF(H4&lt;الإعدادات!$B$9,"بيانات غير كافية — انتظر",IF(N4=0,"إيقاف أو إعادة بناء (إنفاق بلا مبيعات)",IF(H4/N4&gt;الإعدادات!$B$8*1.5,"خفض الميزانية + اختبار إبداعات جديدة",IF(O4/H4&gt;=الإعدادات!$B$6*1.2,"توسيع الميزانية تدريجياً",IF(O4/H4&gt;=الإعدادات!$B$7,IF(AND(X4&lt;&gt;"",X4&lt;0),"رابحة — حدّث الإبداعات لرفع CTR","رابحة — حافظ وحسّن"),"تحت التعادل — حسّن الصفحة/العرض أو أوقف"))))))</f>
        <v/>
      </c>
    </row>
    <row r="5" customFormat="false" ht="15" hidden="false" customHeight="false" outlineLevel="0" collapsed="false">
      <c r="A5" s="14"/>
      <c r="B5" s="14"/>
      <c r="C5" s="14"/>
      <c r="D5" s="14"/>
      <c r="E5" s="14"/>
      <c r="F5" s="14"/>
      <c r="G5" s="14"/>
      <c r="H5" s="19"/>
      <c r="I5" s="22"/>
      <c r="J5" s="22"/>
      <c r="K5" s="22"/>
      <c r="L5" s="22"/>
      <c r="M5" s="22"/>
      <c r="N5" s="22"/>
      <c r="O5" s="19"/>
      <c r="P5" s="23" t="str">
        <f aca="false">IF(I5&gt;0,K5/I5,"")</f>
        <v/>
      </c>
      <c r="Q5" s="20" t="str">
        <f aca="false">IF(K5&gt;0,H5/K5,"")</f>
        <v/>
      </c>
      <c r="R5" s="20" t="str">
        <f aca="false">IF(I5&gt;0,H5/I5*1000,"")</f>
        <v/>
      </c>
      <c r="S5" s="23" t="str">
        <f aca="false">IF(K5&gt;0,N5/K5,"")</f>
        <v/>
      </c>
      <c r="T5" s="20" t="str">
        <f aca="false">IF(N5&gt;0,H5/N5,"")</f>
        <v/>
      </c>
      <c r="U5" s="18" t="str">
        <f aca="false">IF(H5&gt;0,O5/H5,"")</f>
        <v/>
      </c>
      <c r="V5" s="20" t="str">
        <f aca="false">IF(N5&gt;0,O5/N5,"")</f>
        <v/>
      </c>
      <c r="W5" s="20" t="str">
        <f aca="false">IF(H5&gt;0,O5*الإعدادات!$B$5-H5,"")</f>
        <v/>
      </c>
      <c r="X5" s="23" t="str">
        <f aca="false">IF(AND(I5&gt;0,A5&lt;&gt;""),P5-IFERROR(INDEX(الإعدادات!$B$15:$B$18,MATCH(A5,الإعدادات!$A$15:$A$18,0)),0),"")</f>
        <v/>
      </c>
      <c r="Y5" s="12" t="str">
        <f aca="false">IF(H5="","",IF(H5&lt;الإعدادات!$B$9,"بيانات غير كافية — انتظر",IF(N5=0,"إيقاف أو إعادة بناء (إنفاق بلا مبيعات)",IF(H5/N5&gt;الإعدادات!$B$8*1.5,"خفض الميزانية + اختبار إبداعات جديدة",IF(O5/H5&gt;=الإعدادات!$B$6*1.2,"توسيع الميزانية تدريجياً",IF(O5/H5&gt;=الإعدادات!$B$7,IF(AND(X5&lt;&gt;"",X5&lt;0),"رابحة — حدّث الإبداعات لرفع CTR","رابحة — حافظ وحسّن"),"تحت التعادل — حسّن الصفحة/العرض أو أوقف"))))))</f>
        <v/>
      </c>
    </row>
    <row r="6" customFormat="false" ht="15" hidden="false" customHeight="false" outlineLevel="0" collapsed="false">
      <c r="A6" s="14"/>
      <c r="B6" s="14"/>
      <c r="C6" s="14"/>
      <c r="D6" s="14"/>
      <c r="E6" s="14"/>
      <c r="F6" s="14"/>
      <c r="G6" s="14"/>
      <c r="H6" s="19"/>
      <c r="I6" s="22"/>
      <c r="J6" s="22"/>
      <c r="K6" s="22"/>
      <c r="L6" s="22"/>
      <c r="M6" s="22"/>
      <c r="N6" s="22"/>
      <c r="O6" s="19"/>
      <c r="P6" s="23" t="str">
        <f aca="false">IF(I6&gt;0,K6/I6,"")</f>
        <v/>
      </c>
      <c r="Q6" s="20" t="str">
        <f aca="false">IF(K6&gt;0,H6/K6,"")</f>
        <v/>
      </c>
      <c r="R6" s="20" t="str">
        <f aca="false">IF(I6&gt;0,H6/I6*1000,"")</f>
        <v/>
      </c>
      <c r="S6" s="23" t="str">
        <f aca="false">IF(K6&gt;0,N6/K6,"")</f>
        <v/>
      </c>
      <c r="T6" s="20" t="str">
        <f aca="false">IF(N6&gt;0,H6/N6,"")</f>
        <v/>
      </c>
      <c r="U6" s="18" t="str">
        <f aca="false">IF(H6&gt;0,O6/H6,"")</f>
        <v/>
      </c>
      <c r="V6" s="20" t="str">
        <f aca="false">IF(N6&gt;0,O6/N6,"")</f>
        <v/>
      </c>
      <c r="W6" s="20" t="str">
        <f aca="false">IF(H6&gt;0,O6*الإعدادات!$B$5-H6,"")</f>
        <v/>
      </c>
      <c r="X6" s="23" t="str">
        <f aca="false">IF(AND(I6&gt;0,A6&lt;&gt;""),P6-IFERROR(INDEX(الإعدادات!$B$15:$B$18,MATCH(A6,الإعدادات!$A$15:$A$18,0)),0),"")</f>
        <v/>
      </c>
      <c r="Y6" s="12" t="str">
        <f aca="false">IF(H6="","",IF(H6&lt;الإعدادات!$B$9,"بيانات غير كافية — انتظر",IF(N6=0,"إيقاف أو إعادة بناء (إنفاق بلا مبيعات)",IF(H6/N6&gt;الإعدادات!$B$8*1.5,"خفض الميزانية + اختبار إبداعات جديدة",IF(O6/H6&gt;=الإعدادات!$B$6*1.2,"توسيع الميزانية تدريجياً",IF(O6/H6&gt;=الإعدادات!$B$7,IF(AND(X6&lt;&gt;"",X6&lt;0),"رابحة — حدّث الإبداعات لرفع CTR","رابحة — حافظ وحسّن"),"تحت التعادل — حسّن الصفحة/العرض أو أوقف"))))))</f>
        <v/>
      </c>
    </row>
    <row r="7" customFormat="false" ht="15" hidden="false" customHeight="false" outlineLevel="0" collapsed="false">
      <c r="A7" s="14"/>
      <c r="B7" s="14"/>
      <c r="C7" s="14"/>
      <c r="D7" s="14"/>
      <c r="E7" s="14"/>
      <c r="F7" s="14"/>
      <c r="G7" s="14"/>
      <c r="H7" s="19"/>
      <c r="I7" s="22"/>
      <c r="J7" s="22"/>
      <c r="K7" s="22"/>
      <c r="L7" s="22"/>
      <c r="M7" s="22"/>
      <c r="N7" s="22"/>
      <c r="O7" s="19"/>
      <c r="P7" s="23" t="str">
        <f aca="false">IF(I7&gt;0,K7/I7,"")</f>
        <v/>
      </c>
      <c r="Q7" s="20" t="str">
        <f aca="false">IF(K7&gt;0,H7/K7,"")</f>
        <v/>
      </c>
      <c r="R7" s="20" t="str">
        <f aca="false">IF(I7&gt;0,H7/I7*1000,"")</f>
        <v/>
      </c>
      <c r="S7" s="23" t="str">
        <f aca="false">IF(K7&gt;0,N7/K7,"")</f>
        <v/>
      </c>
      <c r="T7" s="20" t="str">
        <f aca="false">IF(N7&gt;0,H7/N7,"")</f>
        <v/>
      </c>
      <c r="U7" s="18" t="str">
        <f aca="false">IF(H7&gt;0,O7/H7,"")</f>
        <v/>
      </c>
      <c r="V7" s="20" t="str">
        <f aca="false">IF(N7&gt;0,O7/N7,"")</f>
        <v/>
      </c>
      <c r="W7" s="20" t="str">
        <f aca="false">IF(H7&gt;0,O7*الإعدادات!$B$5-H7,"")</f>
        <v/>
      </c>
      <c r="X7" s="23" t="str">
        <f aca="false">IF(AND(I7&gt;0,A7&lt;&gt;""),P7-IFERROR(INDEX(الإعدادات!$B$15:$B$18,MATCH(A7,الإعدادات!$A$15:$A$18,0)),0),"")</f>
        <v/>
      </c>
      <c r="Y7" s="12" t="str">
        <f aca="false">IF(H7="","",IF(H7&lt;الإعدادات!$B$9,"بيانات غير كافية — انتظر",IF(N7=0,"إيقاف أو إعادة بناء (إنفاق بلا مبيعات)",IF(H7/N7&gt;الإعدادات!$B$8*1.5,"خفض الميزانية + اختبار إبداعات جديدة",IF(O7/H7&gt;=الإعدادات!$B$6*1.2,"توسيع الميزانية تدريجياً",IF(O7/H7&gt;=الإعدادات!$B$7,IF(AND(X7&lt;&gt;"",X7&lt;0),"رابحة — حدّث الإبداعات لرفع CTR","رابحة — حافظ وحسّن"),"تحت التعادل — حسّن الصفحة/العرض أو أوقف"))))))</f>
        <v/>
      </c>
    </row>
    <row r="8" customFormat="false" ht="15" hidden="false" customHeight="false" outlineLevel="0" collapsed="false">
      <c r="A8" s="14"/>
      <c r="B8" s="14"/>
      <c r="C8" s="14"/>
      <c r="D8" s="14"/>
      <c r="E8" s="14"/>
      <c r="F8" s="14"/>
      <c r="G8" s="14"/>
      <c r="H8" s="19"/>
      <c r="I8" s="22"/>
      <c r="J8" s="22"/>
      <c r="K8" s="22"/>
      <c r="L8" s="22"/>
      <c r="M8" s="22"/>
      <c r="N8" s="22"/>
      <c r="O8" s="19"/>
      <c r="P8" s="23" t="str">
        <f aca="false">IF(I8&gt;0,K8/I8,"")</f>
        <v/>
      </c>
      <c r="Q8" s="20" t="str">
        <f aca="false">IF(K8&gt;0,H8/K8,"")</f>
        <v/>
      </c>
      <c r="R8" s="20" t="str">
        <f aca="false">IF(I8&gt;0,H8/I8*1000,"")</f>
        <v/>
      </c>
      <c r="S8" s="23" t="str">
        <f aca="false">IF(K8&gt;0,N8/K8,"")</f>
        <v/>
      </c>
      <c r="T8" s="20" t="str">
        <f aca="false">IF(N8&gt;0,H8/N8,"")</f>
        <v/>
      </c>
      <c r="U8" s="18" t="str">
        <f aca="false">IF(H8&gt;0,O8/H8,"")</f>
        <v/>
      </c>
      <c r="V8" s="20" t="str">
        <f aca="false">IF(N8&gt;0,O8/N8,"")</f>
        <v/>
      </c>
      <c r="W8" s="20" t="str">
        <f aca="false">IF(H8&gt;0,O8*الإعدادات!$B$5-H8,"")</f>
        <v/>
      </c>
      <c r="X8" s="23" t="str">
        <f aca="false">IF(AND(I8&gt;0,A8&lt;&gt;""),P8-IFERROR(INDEX(الإعدادات!$B$15:$B$18,MATCH(A8,الإعدادات!$A$15:$A$18,0)),0),"")</f>
        <v/>
      </c>
      <c r="Y8" s="12" t="str">
        <f aca="false">IF(H8="","",IF(H8&lt;الإعدادات!$B$9,"بيانات غير كافية — انتظر",IF(N8=0,"إيقاف أو إعادة بناء (إنفاق بلا مبيعات)",IF(H8/N8&gt;الإعدادات!$B$8*1.5,"خفض الميزانية + اختبار إبداعات جديدة",IF(O8/H8&gt;=الإعدادات!$B$6*1.2,"توسيع الميزانية تدريجياً",IF(O8/H8&gt;=الإعدادات!$B$7,IF(AND(X8&lt;&gt;"",X8&lt;0),"رابحة — حدّث الإبداعات لرفع CTR","رابحة — حافظ وحسّن"),"تحت التعادل — حسّن الصفحة/العرض أو أوقف"))))))</f>
        <v/>
      </c>
    </row>
    <row r="9" customFormat="false" ht="15" hidden="false" customHeight="false" outlineLevel="0" collapsed="false">
      <c r="A9" s="14"/>
      <c r="B9" s="14"/>
      <c r="C9" s="14"/>
      <c r="D9" s="14"/>
      <c r="E9" s="14"/>
      <c r="F9" s="14"/>
      <c r="G9" s="14"/>
      <c r="H9" s="19"/>
      <c r="I9" s="22"/>
      <c r="J9" s="22"/>
      <c r="K9" s="22"/>
      <c r="L9" s="22"/>
      <c r="M9" s="22"/>
      <c r="N9" s="22"/>
      <c r="O9" s="19"/>
      <c r="P9" s="23" t="str">
        <f aca="false">IF(I9&gt;0,K9/I9,"")</f>
        <v/>
      </c>
      <c r="Q9" s="20" t="str">
        <f aca="false">IF(K9&gt;0,H9/K9,"")</f>
        <v/>
      </c>
      <c r="R9" s="20" t="str">
        <f aca="false">IF(I9&gt;0,H9/I9*1000,"")</f>
        <v/>
      </c>
      <c r="S9" s="23" t="str">
        <f aca="false">IF(K9&gt;0,N9/K9,"")</f>
        <v/>
      </c>
      <c r="T9" s="20" t="str">
        <f aca="false">IF(N9&gt;0,H9/N9,"")</f>
        <v/>
      </c>
      <c r="U9" s="18" t="str">
        <f aca="false">IF(H9&gt;0,O9/H9,"")</f>
        <v/>
      </c>
      <c r="V9" s="20" t="str">
        <f aca="false">IF(N9&gt;0,O9/N9,"")</f>
        <v/>
      </c>
      <c r="W9" s="20" t="str">
        <f aca="false">IF(H9&gt;0,O9*الإعدادات!$B$5-H9,"")</f>
        <v/>
      </c>
      <c r="X9" s="23" t="str">
        <f aca="false">IF(AND(I9&gt;0,A9&lt;&gt;""),P9-IFERROR(INDEX(الإعدادات!$B$15:$B$18,MATCH(A9,الإعدادات!$A$15:$A$18,0)),0),"")</f>
        <v/>
      </c>
      <c r="Y9" s="12" t="str">
        <f aca="false">IF(H9="","",IF(H9&lt;الإعدادات!$B$9,"بيانات غير كافية — انتظر",IF(N9=0,"إيقاف أو إعادة بناء (إنفاق بلا مبيعات)",IF(H9/N9&gt;الإعدادات!$B$8*1.5,"خفض الميزانية + اختبار إبداعات جديدة",IF(O9/H9&gt;=الإعدادات!$B$6*1.2,"توسيع الميزانية تدريجياً",IF(O9/H9&gt;=الإعدادات!$B$7,IF(AND(X9&lt;&gt;"",X9&lt;0),"رابحة — حدّث الإبداعات لرفع CTR","رابحة — حافظ وحسّن"),"تحت التعادل — حسّن الصفحة/العرض أو أوقف"))))))</f>
        <v/>
      </c>
    </row>
    <row r="10" customFormat="false" ht="15" hidden="false" customHeight="false" outlineLevel="0" collapsed="false">
      <c r="A10" s="14"/>
      <c r="B10" s="14"/>
      <c r="C10" s="14"/>
      <c r="D10" s="14"/>
      <c r="E10" s="14"/>
      <c r="F10" s="14"/>
      <c r="G10" s="14"/>
      <c r="H10" s="19"/>
      <c r="I10" s="22"/>
      <c r="J10" s="22"/>
      <c r="K10" s="22"/>
      <c r="L10" s="22"/>
      <c r="M10" s="22"/>
      <c r="N10" s="22"/>
      <c r="O10" s="19"/>
      <c r="P10" s="23" t="str">
        <f aca="false">IF(I10&gt;0,K10/I10,"")</f>
        <v/>
      </c>
      <c r="Q10" s="20" t="str">
        <f aca="false">IF(K10&gt;0,H10/K10,"")</f>
        <v/>
      </c>
      <c r="R10" s="20" t="str">
        <f aca="false">IF(I10&gt;0,H10/I10*1000,"")</f>
        <v/>
      </c>
      <c r="S10" s="23" t="str">
        <f aca="false">IF(K10&gt;0,N10/K10,"")</f>
        <v/>
      </c>
      <c r="T10" s="20" t="str">
        <f aca="false">IF(N10&gt;0,H10/N10,"")</f>
        <v/>
      </c>
      <c r="U10" s="18" t="str">
        <f aca="false">IF(H10&gt;0,O10/H10,"")</f>
        <v/>
      </c>
      <c r="V10" s="20" t="str">
        <f aca="false">IF(N10&gt;0,O10/N10,"")</f>
        <v/>
      </c>
      <c r="W10" s="20" t="str">
        <f aca="false">IF(H10&gt;0,O10*الإعدادات!$B$5-H10,"")</f>
        <v/>
      </c>
      <c r="X10" s="23" t="str">
        <f aca="false">IF(AND(I10&gt;0,A10&lt;&gt;""),P10-IFERROR(INDEX(الإعدادات!$B$15:$B$18,MATCH(A10,الإعدادات!$A$15:$A$18,0)),0),"")</f>
        <v/>
      </c>
      <c r="Y10" s="12" t="str">
        <f aca="false">IF(H10="","",IF(H10&lt;الإعدادات!$B$9,"بيانات غير كافية — انتظر",IF(N10=0,"إيقاف أو إعادة بناء (إنفاق بلا مبيعات)",IF(H10/N10&gt;الإعدادات!$B$8*1.5,"خفض الميزانية + اختبار إبداعات جديدة",IF(O10/H10&gt;=الإعدادات!$B$6*1.2,"توسيع الميزانية تدريجياً",IF(O10/H10&gt;=الإعدادات!$B$7,IF(AND(X10&lt;&gt;"",X10&lt;0),"رابحة — حدّث الإبداعات لرفع CTR","رابحة — حافظ وحسّن"),"تحت التعادل — حسّن الصفحة/العرض أو أوقف"))))))</f>
        <v/>
      </c>
    </row>
    <row r="11" customFormat="false" ht="15" hidden="false" customHeight="false" outlineLevel="0" collapsed="false">
      <c r="A11" s="14"/>
      <c r="B11" s="14"/>
      <c r="C11" s="14"/>
      <c r="D11" s="14"/>
      <c r="E11" s="14"/>
      <c r="F11" s="14"/>
      <c r="G11" s="14"/>
      <c r="H11" s="19"/>
      <c r="I11" s="22"/>
      <c r="J11" s="22"/>
      <c r="K11" s="22"/>
      <c r="L11" s="22"/>
      <c r="M11" s="22"/>
      <c r="N11" s="22"/>
      <c r="O11" s="19"/>
      <c r="P11" s="23" t="str">
        <f aca="false">IF(I11&gt;0,K11/I11,"")</f>
        <v/>
      </c>
      <c r="Q11" s="20" t="str">
        <f aca="false">IF(K11&gt;0,H11/K11,"")</f>
        <v/>
      </c>
      <c r="R11" s="20" t="str">
        <f aca="false">IF(I11&gt;0,H11/I11*1000,"")</f>
        <v/>
      </c>
      <c r="S11" s="23" t="str">
        <f aca="false">IF(K11&gt;0,N11/K11,"")</f>
        <v/>
      </c>
      <c r="T11" s="20" t="str">
        <f aca="false">IF(N11&gt;0,H11/N11,"")</f>
        <v/>
      </c>
      <c r="U11" s="18" t="str">
        <f aca="false">IF(H11&gt;0,O11/H11,"")</f>
        <v/>
      </c>
      <c r="V11" s="20" t="str">
        <f aca="false">IF(N11&gt;0,O11/N11,"")</f>
        <v/>
      </c>
      <c r="W11" s="20" t="str">
        <f aca="false">IF(H11&gt;0,O11*الإعدادات!$B$5-H11,"")</f>
        <v/>
      </c>
      <c r="X11" s="23" t="str">
        <f aca="false">IF(AND(I11&gt;0,A11&lt;&gt;""),P11-IFERROR(INDEX(الإعدادات!$B$15:$B$18,MATCH(A11,الإعدادات!$A$15:$A$18,0)),0),"")</f>
        <v/>
      </c>
      <c r="Y11" s="12" t="str">
        <f aca="false">IF(H11="","",IF(H11&lt;الإعدادات!$B$9,"بيانات غير كافية — انتظر",IF(N11=0,"إيقاف أو إعادة بناء (إنفاق بلا مبيعات)",IF(H11/N11&gt;الإعدادات!$B$8*1.5,"خفض الميزانية + اختبار إبداعات جديدة",IF(O11/H11&gt;=الإعدادات!$B$6*1.2,"توسيع الميزانية تدريجياً",IF(O11/H11&gt;=الإعدادات!$B$7,IF(AND(X11&lt;&gt;"",X11&lt;0),"رابحة — حدّث الإبداعات لرفع CTR","رابحة — حافظ وحسّن"),"تحت التعادل — حسّن الصفحة/العرض أو أوقف"))))))</f>
        <v/>
      </c>
    </row>
    <row r="12" customFormat="false" ht="15" hidden="false" customHeight="false" outlineLevel="0" collapsed="false">
      <c r="A12" s="14"/>
      <c r="B12" s="14"/>
      <c r="C12" s="14"/>
      <c r="D12" s="14"/>
      <c r="E12" s="14"/>
      <c r="F12" s="14"/>
      <c r="G12" s="14"/>
      <c r="H12" s="19"/>
      <c r="I12" s="22"/>
      <c r="J12" s="22"/>
      <c r="K12" s="22"/>
      <c r="L12" s="22"/>
      <c r="M12" s="22"/>
      <c r="N12" s="22"/>
      <c r="O12" s="19"/>
      <c r="P12" s="23" t="str">
        <f aca="false">IF(I12&gt;0,K12/I12,"")</f>
        <v/>
      </c>
      <c r="Q12" s="20" t="str">
        <f aca="false">IF(K12&gt;0,H12/K12,"")</f>
        <v/>
      </c>
      <c r="R12" s="20" t="str">
        <f aca="false">IF(I12&gt;0,H12/I12*1000,"")</f>
        <v/>
      </c>
      <c r="S12" s="23" t="str">
        <f aca="false">IF(K12&gt;0,N12/K12,"")</f>
        <v/>
      </c>
      <c r="T12" s="20" t="str">
        <f aca="false">IF(N12&gt;0,H12/N12,"")</f>
        <v/>
      </c>
      <c r="U12" s="18" t="str">
        <f aca="false">IF(H12&gt;0,O12/H12,"")</f>
        <v/>
      </c>
      <c r="V12" s="20" t="str">
        <f aca="false">IF(N12&gt;0,O12/N12,"")</f>
        <v/>
      </c>
      <c r="W12" s="20" t="str">
        <f aca="false">IF(H12&gt;0,O12*الإعدادات!$B$5-H12,"")</f>
        <v/>
      </c>
      <c r="X12" s="23" t="str">
        <f aca="false">IF(AND(I12&gt;0,A12&lt;&gt;""),P12-IFERROR(INDEX(الإعدادات!$B$15:$B$18,MATCH(A12,الإعدادات!$A$15:$A$18,0)),0),"")</f>
        <v/>
      </c>
      <c r="Y12" s="12" t="str">
        <f aca="false">IF(H12="","",IF(H12&lt;الإعدادات!$B$9,"بيانات غير كافية — انتظر",IF(N12=0,"إيقاف أو إعادة بناء (إنفاق بلا مبيعات)",IF(H12/N12&gt;الإعدادات!$B$8*1.5,"خفض الميزانية + اختبار إبداعات جديدة",IF(O12/H12&gt;=الإعدادات!$B$6*1.2,"توسيع الميزانية تدريجياً",IF(O12/H12&gt;=الإعدادات!$B$7,IF(AND(X12&lt;&gt;"",X12&lt;0),"رابحة — حدّث الإبداعات لرفع CTR","رابحة — حافظ وحسّن"),"تحت التعادل — حسّن الصفحة/العرض أو أوقف"))))))</f>
        <v/>
      </c>
    </row>
    <row r="13" customFormat="false" ht="15" hidden="false" customHeight="false" outlineLevel="0" collapsed="false">
      <c r="A13" s="14"/>
      <c r="B13" s="14"/>
      <c r="C13" s="14"/>
      <c r="D13" s="14"/>
      <c r="E13" s="14"/>
      <c r="F13" s="14"/>
      <c r="G13" s="14"/>
      <c r="H13" s="19"/>
      <c r="I13" s="22"/>
      <c r="J13" s="22"/>
      <c r="K13" s="22"/>
      <c r="L13" s="22"/>
      <c r="M13" s="22"/>
      <c r="N13" s="22"/>
      <c r="O13" s="19"/>
      <c r="P13" s="23" t="str">
        <f aca="false">IF(I13&gt;0,K13/I13,"")</f>
        <v/>
      </c>
      <c r="Q13" s="20" t="str">
        <f aca="false">IF(K13&gt;0,H13/K13,"")</f>
        <v/>
      </c>
      <c r="R13" s="20" t="str">
        <f aca="false">IF(I13&gt;0,H13/I13*1000,"")</f>
        <v/>
      </c>
      <c r="S13" s="23" t="str">
        <f aca="false">IF(K13&gt;0,N13/K13,"")</f>
        <v/>
      </c>
      <c r="T13" s="20" t="str">
        <f aca="false">IF(N13&gt;0,H13/N13,"")</f>
        <v/>
      </c>
      <c r="U13" s="18" t="str">
        <f aca="false">IF(H13&gt;0,O13/H13,"")</f>
        <v/>
      </c>
      <c r="V13" s="20" t="str">
        <f aca="false">IF(N13&gt;0,O13/N13,"")</f>
        <v/>
      </c>
      <c r="W13" s="20" t="str">
        <f aca="false">IF(H13&gt;0,O13*الإعدادات!$B$5-H13,"")</f>
        <v/>
      </c>
      <c r="X13" s="23" t="str">
        <f aca="false">IF(AND(I13&gt;0,A13&lt;&gt;""),P13-IFERROR(INDEX(الإعدادات!$B$15:$B$18,MATCH(A13,الإعدادات!$A$15:$A$18,0)),0),"")</f>
        <v/>
      </c>
      <c r="Y13" s="12" t="str">
        <f aca="false">IF(H13="","",IF(H13&lt;الإعدادات!$B$9,"بيانات غير كافية — انتظر",IF(N13=0,"إيقاف أو إعادة بناء (إنفاق بلا مبيعات)",IF(H13/N13&gt;الإعدادات!$B$8*1.5,"خفض الميزانية + اختبار إبداعات جديدة",IF(O13/H13&gt;=الإعدادات!$B$6*1.2,"توسيع الميزانية تدريجياً",IF(O13/H13&gt;=الإعدادات!$B$7,IF(AND(X13&lt;&gt;"",X13&lt;0),"رابحة — حدّث الإبداعات لرفع CTR","رابحة — حافظ وحسّن"),"تحت التعادل — حسّن الصفحة/العرض أو أوقف"))))))</f>
        <v/>
      </c>
    </row>
    <row r="14" customFormat="false" ht="15" hidden="false" customHeight="false" outlineLevel="0" collapsed="false">
      <c r="A14" s="14"/>
      <c r="B14" s="14"/>
      <c r="C14" s="14"/>
      <c r="D14" s="14"/>
      <c r="E14" s="14"/>
      <c r="F14" s="14"/>
      <c r="G14" s="14"/>
      <c r="H14" s="19"/>
      <c r="I14" s="22"/>
      <c r="J14" s="22"/>
      <c r="K14" s="22"/>
      <c r="L14" s="22"/>
      <c r="M14" s="22"/>
      <c r="N14" s="22"/>
      <c r="O14" s="19"/>
      <c r="P14" s="23" t="str">
        <f aca="false">IF(I14&gt;0,K14/I14,"")</f>
        <v/>
      </c>
      <c r="Q14" s="20" t="str">
        <f aca="false">IF(K14&gt;0,H14/K14,"")</f>
        <v/>
      </c>
      <c r="R14" s="20" t="str">
        <f aca="false">IF(I14&gt;0,H14/I14*1000,"")</f>
        <v/>
      </c>
      <c r="S14" s="23" t="str">
        <f aca="false">IF(K14&gt;0,N14/K14,"")</f>
        <v/>
      </c>
      <c r="T14" s="20" t="str">
        <f aca="false">IF(N14&gt;0,H14/N14,"")</f>
        <v/>
      </c>
      <c r="U14" s="18" t="str">
        <f aca="false">IF(H14&gt;0,O14/H14,"")</f>
        <v/>
      </c>
      <c r="V14" s="20" t="str">
        <f aca="false">IF(N14&gt;0,O14/N14,"")</f>
        <v/>
      </c>
      <c r="W14" s="20" t="str">
        <f aca="false">IF(H14&gt;0,O14*الإعدادات!$B$5-H14,"")</f>
        <v/>
      </c>
      <c r="X14" s="23" t="str">
        <f aca="false">IF(AND(I14&gt;0,A14&lt;&gt;""),P14-IFERROR(INDEX(الإعدادات!$B$15:$B$18,MATCH(A14,الإعدادات!$A$15:$A$18,0)),0),"")</f>
        <v/>
      </c>
      <c r="Y14" s="12" t="str">
        <f aca="false">IF(H14="","",IF(H14&lt;الإعدادات!$B$9,"بيانات غير كافية — انتظر",IF(N14=0,"إيقاف أو إعادة بناء (إنفاق بلا مبيعات)",IF(H14/N14&gt;الإعدادات!$B$8*1.5,"خفض الميزانية + اختبار إبداعات جديدة",IF(O14/H14&gt;=الإعدادات!$B$6*1.2,"توسيع الميزانية تدريجياً",IF(O14/H14&gt;=الإعدادات!$B$7,IF(AND(X14&lt;&gt;"",X14&lt;0),"رابحة — حدّث الإبداعات لرفع CTR","رابحة — حافظ وحسّن"),"تحت التعادل — حسّن الصفحة/العرض أو أوقف"))))))</f>
        <v/>
      </c>
    </row>
    <row r="15" customFormat="false" ht="15" hidden="false" customHeight="false" outlineLevel="0" collapsed="false">
      <c r="A15" s="14"/>
      <c r="B15" s="14"/>
      <c r="C15" s="14"/>
      <c r="D15" s="14"/>
      <c r="E15" s="14"/>
      <c r="F15" s="14"/>
      <c r="G15" s="14"/>
      <c r="H15" s="19"/>
      <c r="I15" s="22"/>
      <c r="J15" s="22"/>
      <c r="K15" s="22"/>
      <c r="L15" s="22"/>
      <c r="M15" s="22"/>
      <c r="N15" s="22"/>
      <c r="O15" s="19"/>
      <c r="P15" s="23" t="str">
        <f aca="false">IF(I15&gt;0,K15/I15,"")</f>
        <v/>
      </c>
      <c r="Q15" s="20" t="str">
        <f aca="false">IF(K15&gt;0,H15/K15,"")</f>
        <v/>
      </c>
      <c r="R15" s="20" t="str">
        <f aca="false">IF(I15&gt;0,H15/I15*1000,"")</f>
        <v/>
      </c>
      <c r="S15" s="23" t="str">
        <f aca="false">IF(K15&gt;0,N15/K15,"")</f>
        <v/>
      </c>
      <c r="T15" s="20" t="str">
        <f aca="false">IF(N15&gt;0,H15/N15,"")</f>
        <v/>
      </c>
      <c r="U15" s="18" t="str">
        <f aca="false">IF(H15&gt;0,O15/H15,"")</f>
        <v/>
      </c>
      <c r="V15" s="20" t="str">
        <f aca="false">IF(N15&gt;0,O15/N15,"")</f>
        <v/>
      </c>
      <c r="W15" s="20" t="str">
        <f aca="false">IF(H15&gt;0,O15*الإعدادات!$B$5-H15,"")</f>
        <v/>
      </c>
      <c r="X15" s="23" t="str">
        <f aca="false">IF(AND(I15&gt;0,A15&lt;&gt;""),P15-IFERROR(INDEX(الإعدادات!$B$15:$B$18,MATCH(A15,الإعدادات!$A$15:$A$18,0)),0),"")</f>
        <v/>
      </c>
      <c r="Y15" s="12" t="str">
        <f aca="false">IF(H15="","",IF(H15&lt;الإعدادات!$B$9,"بيانات غير كافية — انتظر",IF(N15=0,"إيقاف أو إعادة بناء (إنفاق بلا مبيعات)",IF(H15/N15&gt;الإعدادات!$B$8*1.5,"خفض الميزانية + اختبار إبداعات جديدة",IF(O15/H15&gt;=الإعدادات!$B$6*1.2,"توسيع الميزانية تدريجياً",IF(O15/H15&gt;=الإعدادات!$B$7,IF(AND(X15&lt;&gt;"",X15&lt;0),"رابحة — حدّث الإبداعات لرفع CTR","رابحة — حافظ وحسّن"),"تحت التعادل — حسّن الصفحة/العرض أو أوقف"))))))</f>
        <v/>
      </c>
    </row>
    <row r="16" customFormat="false" ht="15" hidden="false" customHeight="false" outlineLevel="0" collapsed="false">
      <c r="A16" s="14"/>
      <c r="B16" s="14"/>
      <c r="C16" s="14"/>
      <c r="D16" s="14"/>
      <c r="E16" s="14"/>
      <c r="F16" s="14"/>
      <c r="G16" s="14"/>
      <c r="H16" s="19"/>
      <c r="I16" s="22"/>
      <c r="J16" s="22"/>
      <c r="K16" s="22"/>
      <c r="L16" s="22"/>
      <c r="M16" s="22"/>
      <c r="N16" s="22"/>
      <c r="O16" s="19"/>
      <c r="P16" s="23" t="str">
        <f aca="false">IF(I16&gt;0,K16/I16,"")</f>
        <v/>
      </c>
      <c r="Q16" s="20" t="str">
        <f aca="false">IF(K16&gt;0,H16/K16,"")</f>
        <v/>
      </c>
      <c r="R16" s="20" t="str">
        <f aca="false">IF(I16&gt;0,H16/I16*1000,"")</f>
        <v/>
      </c>
      <c r="S16" s="23" t="str">
        <f aca="false">IF(K16&gt;0,N16/K16,"")</f>
        <v/>
      </c>
      <c r="T16" s="20" t="str">
        <f aca="false">IF(N16&gt;0,H16/N16,"")</f>
        <v/>
      </c>
      <c r="U16" s="18" t="str">
        <f aca="false">IF(H16&gt;0,O16/H16,"")</f>
        <v/>
      </c>
      <c r="V16" s="20" t="str">
        <f aca="false">IF(N16&gt;0,O16/N16,"")</f>
        <v/>
      </c>
      <c r="W16" s="20" t="str">
        <f aca="false">IF(H16&gt;0,O16*الإعدادات!$B$5-H16,"")</f>
        <v/>
      </c>
      <c r="X16" s="23" t="str">
        <f aca="false">IF(AND(I16&gt;0,A16&lt;&gt;""),P16-IFERROR(INDEX(الإعدادات!$B$15:$B$18,MATCH(A16,الإعدادات!$A$15:$A$18,0)),0),"")</f>
        <v/>
      </c>
      <c r="Y16" s="12" t="str">
        <f aca="false">IF(H16="","",IF(H16&lt;الإعدادات!$B$9,"بيانات غير كافية — انتظر",IF(N16=0,"إيقاف أو إعادة بناء (إنفاق بلا مبيعات)",IF(H16/N16&gt;الإعدادات!$B$8*1.5,"خفض الميزانية + اختبار إبداعات جديدة",IF(O16/H16&gt;=الإعدادات!$B$6*1.2,"توسيع الميزانية تدريجياً",IF(O16/H16&gt;=الإعدادات!$B$7,IF(AND(X16&lt;&gt;"",X16&lt;0),"رابحة — حدّث الإبداعات لرفع CTR","رابحة — حافظ وحسّن"),"تحت التعادل — حسّن الصفحة/العرض أو أوقف"))))))</f>
        <v/>
      </c>
    </row>
    <row r="17" customFormat="false" ht="15" hidden="false" customHeight="false" outlineLevel="0" collapsed="false">
      <c r="A17" s="14"/>
      <c r="B17" s="14"/>
      <c r="C17" s="14"/>
      <c r="D17" s="14"/>
      <c r="E17" s="14"/>
      <c r="F17" s="14"/>
      <c r="G17" s="14"/>
      <c r="H17" s="19"/>
      <c r="I17" s="22"/>
      <c r="J17" s="22"/>
      <c r="K17" s="22"/>
      <c r="L17" s="22"/>
      <c r="M17" s="22"/>
      <c r="N17" s="22"/>
      <c r="O17" s="19"/>
      <c r="P17" s="23" t="str">
        <f aca="false">IF(I17&gt;0,K17/I17,"")</f>
        <v/>
      </c>
      <c r="Q17" s="20" t="str">
        <f aca="false">IF(K17&gt;0,H17/K17,"")</f>
        <v/>
      </c>
      <c r="R17" s="20" t="str">
        <f aca="false">IF(I17&gt;0,H17/I17*1000,"")</f>
        <v/>
      </c>
      <c r="S17" s="23" t="str">
        <f aca="false">IF(K17&gt;0,N17/K17,"")</f>
        <v/>
      </c>
      <c r="T17" s="20" t="str">
        <f aca="false">IF(N17&gt;0,H17/N17,"")</f>
        <v/>
      </c>
      <c r="U17" s="18" t="str">
        <f aca="false">IF(H17&gt;0,O17/H17,"")</f>
        <v/>
      </c>
      <c r="V17" s="20" t="str">
        <f aca="false">IF(N17&gt;0,O17/N17,"")</f>
        <v/>
      </c>
      <c r="W17" s="20" t="str">
        <f aca="false">IF(H17&gt;0,O17*الإعدادات!$B$5-H17,"")</f>
        <v/>
      </c>
      <c r="X17" s="23" t="str">
        <f aca="false">IF(AND(I17&gt;0,A17&lt;&gt;""),P17-IFERROR(INDEX(الإعدادات!$B$15:$B$18,MATCH(A17,الإعدادات!$A$15:$A$18,0)),0),"")</f>
        <v/>
      </c>
      <c r="Y17" s="12" t="str">
        <f aca="false">IF(H17="","",IF(H17&lt;الإعدادات!$B$9,"بيانات غير كافية — انتظر",IF(N17=0,"إيقاف أو إعادة بناء (إنفاق بلا مبيعات)",IF(H17/N17&gt;الإعدادات!$B$8*1.5,"خفض الميزانية + اختبار إبداعات جديدة",IF(O17/H17&gt;=الإعدادات!$B$6*1.2,"توسيع الميزانية تدريجياً",IF(O17/H17&gt;=الإعدادات!$B$7,IF(AND(X17&lt;&gt;"",X17&lt;0),"رابحة — حدّث الإبداعات لرفع CTR","رابحة — حافظ وحسّن"),"تحت التعادل — حسّن الصفحة/العرض أو أوقف"))))))</f>
        <v/>
      </c>
    </row>
    <row r="18" customFormat="false" ht="15" hidden="false" customHeight="false" outlineLevel="0" collapsed="false">
      <c r="A18" s="14"/>
      <c r="B18" s="14"/>
      <c r="C18" s="14"/>
      <c r="D18" s="14"/>
      <c r="E18" s="14"/>
      <c r="F18" s="14"/>
      <c r="G18" s="14"/>
      <c r="H18" s="19"/>
      <c r="I18" s="22"/>
      <c r="J18" s="22"/>
      <c r="K18" s="22"/>
      <c r="L18" s="22"/>
      <c r="M18" s="22"/>
      <c r="N18" s="22"/>
      <c r="O18" s="19"/>
      <c r="P18" s="23" t="str">
        <f aca="false">IF(I18&gt;0,K18/I18,"")</f>
        <v/>
      </c>
      <c r="Q18" s="20" t="str">
        <f aca="false">IF(K18&gt;0,H18/K18,"")</f>
        <v/>
      </c>
      <c r="R18" s="20" t="str">
        <f aca="false">IF(I18&gt;0,H18/I18*1000,"")</f>
        <v/>
      </c>
      <c r="S18" s="23" t="str">
        <f aca="false">IF(K18&gt;0,N18/K18,"")</f>
        <v/>
      </c>
      <c r="T18" s="20" t="str">
        <f aca="false">IF(N18&gt;0,H18/N18,"")</f>
        <v/>
      </c>
      <c r="U18" s="18" t="str">
        <f aca="false">IF(H18&gt;0,O18/H18,"")</f>
        <v/>
      </c>
      <c r="V18" s="20" t="str">
        <f aca="false">IF(N18&gt;0,O18/N18,"")</f>
        <v/>
      </c>
      <c r="W18" s="20" t="str">
        <f aca="false">IF(H18&gt;0,O18*الإعدادات!$B$5-H18,"")</f>
        <v/>
      </c>
      <c r="X18" s="23" t="str">
        <f aca="false">IF(AND(I18&gt;0,A18&lt;&gt;""),P18-IFERROR(INDEX(الإعدادات!$B$15:$B$18,MATCH(A18,الإعدادات!$A$15:$A$18,0)),0),"")</f>
        <v/>
      </c>
      <c r="Y18" s="12" t="str">
        <f aca="false">IF(H18="","",IF(H18&lt;الإعدادات!$B$9,"بيانات غير كافية — انتظر",IF(N18=0,"إيقاف أو إعادة بناء (إنفاق بلا مبيعات)",IF(H18/N18&gt;الإعدادات!$B$8*1.5,"خفض الميزانية + اختبار إبداعات جديدة",IF(O18/H18&gt;=الإعدادات!$B$6*1.2,"توسيع الميزانية تدريجياً",IF(O18/H18&gt;=الإعدادات!$B$7,IF(AND(X18&lt;&gt;"",X18&lt;0),"رابحة — حدّث الإبداعات لرفع CTR","رابحة — حافظ وحسّن"),"تحت التعادل — حسّن الصفحة/العرض أو أوقف"))))))</f>
        <v/>
      </c>
    </row>
    <row r="19" customFormat="false" ht="15" hidden="false" customHeight="false" outlineLevel="0" collapsed="false">
      <c r="A19" s="14"/>
      <c r="B19" s="14"/>
      <c r="C19" s="14"/>
      <c r="D19" s="14"/>
      <c r="E19" s="14"/>
      <c r="F19" s="14"/>
      <c r="G19" s="14"/>
      <c r="H19" s="19"/>
      <c r="I19" s="22"/>
      <c r="J19" s="22"/>
      <c r="K19" s="22"/>
      <c r="L19" s="22"/>
      <c r="M19" s="22"/>
      <c r="N19" s="22"/>
      <c r="O19" s="19"/>
      <c r="P19" s="23" t="str">
        <f aca="false">IF(I19&gt;0,K19/I19,"")</f>
        <v/>
      </c>
      <c r="Q19" s="20" t="str">
        <f aca="false">IF(K19&gt;0,H19/K19,"")</f>
        <v/>
      </c>
      <c r="R19" s="20" t="str">
        <f aca="false">IF(I19&gt;0,H19/I19*1000,"")</f>
        <v/>
      </c>
      <c r="S19" s="23" t="str">
        <f aca="false">IF(K19&gt;0,N19/K19,"")</f>
        <v/>
      </c>
      <c r="T19" s="20" t="str">
        <f aca="false">IF(N19&gt;0,H19/N19,"")</f>
        <v/>
      </c>
      <c r="U19" s="18" t="str">
        <f aca="false">IF(H19&gt;0,O19/H19,"")</f>
        <v/>
      </c>
      <c r="V19" s="20" t="str">
        <f aca="false">IF(N19&gt;0,O19/N19,"")</f>
        <v/>
      </c>
      <c r="W19" s="20" t="str">
        <f aca="false">IF(H19&gt;0,O19*الإعدادات!$B$5-H19,"")</f>
        <v/>
      </c>
      <c r="X19" s="23" t="str">
        <f aca="false">IF(AND(I19&gt;0,A19&lt;&gt;""),P19-IFERROR(INDEX(الإعدادات!$B$15:$B$18,MATCH(A19,الإعدادات!$A$15:$A$18,0)),0),"")</f>
        <v/>
      </c>
      <c r="Y19" s="12" t="str">
        <f aca="false">IF(H19="","",IF(H19&lt;الإعدادات!$B$9,"بيانات غير كافية — انتظر",IF(N19=0,"إيقاف أو إعادة بناء (إنفاق بلا مبيعات)",IF(H19/N19&gt;الإعدادات!$B$8*1.5,"خفض الميزانية + اختبار إبداعات جديدة",IF(O19/H19&gt;=الإعدادات!$B$6*1.2,"توسيع الميزانية تدريجياً",IF(O19/H19&gt;=الإعدادات!$B$7,IF(AND(X19&lt;&gt;"",X19&lt;0),"رابحة — حدّث الإبداعات لرفع CTR","رابحة — حافظ وحسّن"),"تحت التعادل — حسّن الصفحة/العرض أو أوقف"))))))</f>
        <v/>
      </c>
    </row>
    <row r="20" customFormat="false" ht="15" hidden="false" customHeight="false" outlineLevel="0" collapsed="false">
      <c r="A20" s="14"/>
      <c r="B20" s="14"/>
      <c r="C20" s="14"/>
      <c r="D20" s="14"/>
      <c r="E20" s="14"/>
      <c r="F20" s="14"/>
      <c r="G20" s="14"/>
      <c r="H20" s="19"/>
      <c r="I20" s="22"/>
      <c r="J20" s="22"/>
      <c r="K20" s="22"/>
      <c r="L20" s="22"/>
      <c r="M20" s="22"/>
      <c r="N20" s="22"/>
      <c r="O20" s="19"/>
      <c r="P20" s="23" t="str">
        <f aca="false">IF(I20&gt;0,K20/I20,"")</f>
        <v/>
      </c>
      <c r="Q20" s="20" t="str">
        <f aca="false">IF(K20&gt;0,H20/K20,"")</f>
        <v/>
      </c>
      <c r="R20" s="20" t="str">
        <f aca="false">IF(I20&gt;0,H20/I20*1000,"")</f>
        <v/>
      </c>
      <c r="S20" s="23" t="str">
        <f aca="false">IF(K20&gt;0,N20/K20,"")</f>
        <v/>
      </c>
      <c r="T20" s="20" t="str">
        <f aca="false">IF(N20&gt;0,H20/N20,"")</f>
        <v/>
      </c>
      <c r="U20" s="18" t="str">
        <f aca="false">IF(H20&gt;0,O20/H20,"")</f>
        <v/>
      </c>
      <c r="V20" s="20" t="str">
        <f aca="false">IF(N20&gt;0,O20/N20,"")</f>
        <v/>
      </c>
      <c r="W20" s="20" t="str">
        <f aca="false">IF(H20&gt;0,O20*الإعدادات!$B$5-H20,"")</f>
        <v/>
      </c>
      <c r="X20" s="23" t="str">
        <f aca="false">IF(AND(I20&gt;0,A20&lt;&gt;""),P20-IFERROR(INDEX(الإعدادات!$B$15:$B$18,MATCH(A20,الإعدادات!$A$15:$A$18,0)),0),"")</f>
        <v/>
      </c>
      <c r="Y20" s="12" t="str">
        <f aca="false">IF(H20="","",IF(H20&lt;الإعدادات!$B$9,"بيانات غير كافية — انتظر",IF(N20=0,"إيقاف أو إعادة بناء (إنفاق بلا مبيعات)",IF(H20/N20&gt;الإعدادات!$B$8*1.5,"خفض الميزانية + اختبار إبداعات جديدة",IF(O20/H20&gt;=الإعدادات!$B$6*1.2,"توسيع الميزانية تدريجياً",IF(O20/H20&gt;=الإعدادات!$B$7,IF(AND(X20&lt;&gt;"",X20&lt;0),"رابحة — حدّث الإبداعات لرفع CTR","رابحة — حافظ وحسّن"),"تحت التعادل — حسّن الصفحة/العرض أو أوقف"))))))</f>
        <v/>
      </c>
    </row>
    <row r="21" customFormat="false" ht="15" hidden="false" customHeight="false" outlineLevel="0" collapsed="false">
      <c r="A21" s="14"/>
      <c r="B21" s="14"/>
      <c r="C21" s="14"/>
      <c r="D21" s="14"/>
      <c r="E21" s="14"/>
      <c r="F21" s="14"/>
      <c r="G21" s="14"/>
      <c r="H21" s="19"/>
      <c r="I21" s="22"/>
      <c r="J21" s="22"/>
      <c r="K21" s="22"/>
      <c r="L21" s="22"/>
      <c r="M21" s="22"/>
      <c r="N21" s="22"/>
      <c r="O21" s="19"/>
      <c r="P21" s="23" t="str">
        <f aca="false">IF(I21&gt;0,K21/I21,"")</f>
        <v/>
      </c>
      <c r="Q21" s="20" t="str">
        <f aca="false">IF(K21&gt;0,H21/K21,"")</f>
        <v/>
      </c>
      <c r="R21" s="20" t="str">
        <f aca="false">IF(I21&gt;0,H21/I21*1000,"")</f>
        <v/>
      </c>
      <c r="S21" s="23" t="str">
        <f aca="false">IF(K21&gt;0,N21/K21,"")</f>
        <v/>
      </c>
      <c r="T21" s="20" t="str">
        <f aca="false">IF(N21&gt;0,H21/N21,"")</f>
        <v/>
      </c>
      <c r="U21" s="18" t="str">
        <f aca="false">IF(H21&gt;0,O21/H21,"")</f>
        <v/>
      </c>
      <c r="V21" s="20" t="str">
        <f aca="false">IF(N21&gt;0,O21/N21,"")</f>
        <v/>
      </c>
      <c r="W21" s="20" t="str">
        <f aca="false">IF(H21&gt;0,O21*الإعدادات!$B$5-H21,"")</f>
        <v/>
      </c>
      <c r="X21" s="23" t="str">
        <f aca="false">IF(AND(I21&gt;0,A21&lt;&gt;""),P21-IFERROR(INDEX(الإعدادات!$B$15:$B$18,MATCH(A21,الإعدادات!$A$15:$A$18,0)),0),"")</f>
        <v/>
      </c>
      <c r="Y21" s="12" t="str">
        <f aca="false">IF(H21="","",IF(H21&lt;الإعدادات!$B$9,"بيانات غير كافية — انتظر",IF(N21=0,"إيقاف أو إعادة بناء (إنفاق بلا مبيعات)",IF(H21/N21&gt;الإعدادات!$B$8*1.5,"خفض الميزانية + اختبار إبداعات جديدة",IF(O21/H21&gt;=الإعدادات!$B$6*1.2,"توسيع الميزانية تدريجياً",IF(O21/H21&gt;=الإعدادات!$B$7,IF(AND(X21&lt;&gt;"",X21&lt;0),"رابحة — حدّث الإبداعات لرفع CTR","رابحة — حافظ وحسّن"),"تحت التعادل — حسّن الصفحة/العرض أو أوقف"))))))</f>
        <v/>
      </c>
    </row>
    <row r="22" customFormat="false" ht="15" hidden="false" customHeight="false" outlineLevel="0" collapsed="false">
      <c r="A22" s="14"/>
      <c r="B22" s="14"/>
      <c r="C22" s="14"/>
      <c r="D22" s="14"/>
      <c r="E22" s="14"/>
      <c r="F22" s="14"/>
      <c r="G22" s="14"/>
      <c r="H22" s="19"/>
      <c r="I22" s="22"/>
      <c r="J22" s="22"/>
      <c r="K22" s="22"/>
      <c r="L22" s="22"/>
      <c r="M22" s="22"/>
      <c r="N22" s="22"/>
      <c r="O22" s="19"/>
      <c r="P22" s="23" t="str">
        <f aca="false">IF(I22&gt;0,K22/I22,"")</f>
        <v/>
      </c>
      <c r="Q22" s="20" t="str">
        <f aca="false">IF(K22&gt;0,H22/K22,"")</f>
        <v/>
      </c>
      <c r="R22" s="20" t="str">
        <f aca="false">IF(I22&gt;0,H22/I22*1000,"")</f>
        <v/>
      </c>
      <c r="S22" s="23" t="str">
        <f aca="false">IF(K22&gt;0,N22/K22,"")</f>
        <v/>
      </c>
      <c r="T22" s="20" t="str">
        <f aca="false">IF(N22&gt;0,H22/N22,"")</f>
        <v/>
      </c>
      <c r="U22" s="18" t="str">
        <f aca="false">IF(H22&gt;0,O22/H22,"")</f>
        <v/>
      </c>
      <c r="V22" s="20" t="str">
        <f aca="false">IF(N22&gt;0,O22/N22,"")</f>
        <v/>
      </c>
      <c r="W22" s="20" t="str">
        <f aca="false">IF(H22&gt;0,O22*الإعدادات!$B$5-H22,"")</f>
        <v/>
      </c>
      <c r="X22" s="23" t="str">
        <f aca="false">IF(AND(I22&gt;0,A22&lt;&gt;""),P22-IFERROR(INDEX(الإعدادات!$B$15:$B$18,MATCH(A22,الإعدادات!$A$15:$A$18,0)),0),"")</f>
        <v/>
      </c>
      <c r="Y22" s="12" t="str">
        <f aca="false">IF(H22="","",IF(H22&lt;الإعدادات!$B$9,"بيانات غير كافية — انتظر",IF(N22=0,"إيقاف أو إعادة بناء (إنفاق بلا مبيعات)",IF(H22/N22&gt;الإعدادات!$B$8*1.5,"خفض الميزانية + اختبار إبداعات جديدة",IF(O22/H22&gt;=الإعدادات!$B$6*1.2,"توسيع الميزانية تدريجياً",IF(O22/H22&gt;=الإعدادات!$B$7,IF(AND(X22&lt;&gt;"",X22&lt;0),"رابحة — حدّث الإبداعات لرفع CTR","رابحة — حافظ وحسّن"),"تحت التعادل — حسّن الصفحة/العرض أو أوقف"))))))</f>
        <v/>
      </c>
    </row>
    <row r="23" customFormat="false" ht="15" hidden="false" customHeight="false" outlineLevel="0" collapsed="false">
      <c r="A23" s="14"/>
      <c r="B23" s="14"/>
      <c r="C23" s="14"/>
      <c r="D23" s="14"/>
      <c r="E23" s="14"/>
      <c r="F23" s="14"/>
      <c r="G23" s="14"/>
      <c r="H23" s="19"/>
      <c r="I23" s="22"/>
      <c r="J23" s="22"/>
      <c r="K23" s="22"/>
      <c r="L23" s="22"/>
      <c r="M23" s="22"/>
      <c r="N23" s="22"/>
      <c r="O23" s="19"/>
      <c r="P23" s="23" t="str">
        <f aca="false">IF(I23&gt;0,K23/I23,"")</f>
        <v/>
      </c>
      <c r="Q23" s="20" t="str">
        <f aca="false">IF(K23&gt;0,H23/K23,"")</f>
        <v/>
      </c>
      <c r="R23" s="20" t="str">
        <f aca="false">IF(I23&gt;0,H23/I23*1000,"")</f>
        <v/>
      </c>
      <c r="S23" s="23" t="str">
        <f aca="false">IF(K23&gt;0,N23/K23,"")</f>
        <v/>
      </c>
      <c r="T23" s="20" t="str">
        <f aca="false">IF(N23&gt;0,H23/N23,"")</f>
        <v/>
      </c>
      <c r="U23" s="18" t="str">
        <f aca="false">IF(H23&gt;0,O23/H23,"")</f>
        <v/>
      </c>
      <c r="V23" s="20" t="str">
        <f aca="false">IF(N23&gt;0,O23/N23,"")</f>
        <v/>
      </c>
      <c r="W23" s="20" t="str">
        <f aca="false">IF(H23&gt;0,O23*الإعدادات!$B$5-H23,"")</f>
        <v/>
      </c>
      <c r="X23" s="23" t="str">
        <f aca="false">IF(AND(I23&gt;0,A23&lt;&gt;""),P23-IFERROR(INDEX(الإعدادات!$B$15:$B$18,MATCH(A23,الإعدادات!$A$15:$A$18,0)),0),"")</f>
        <v/>
      </c>
      <c r="Y23" s="12" t="str">
        <f aca="false">IF(H23="","",IF(H23&lt;الإعدادات!$B$9,"بيانات غير كافية — انتظر",IF(N23=0,"إيقاف أو إعادة بناء (إنفاق بلا مبيعات)",IF(H23/N23&gt;الإعدادات!$B$8*1.5,"خفض الميزانية + اختبار إبداعات جديدة",IF(O23/H23&gt;=الإعدادات!$B$6*1.2,"توسيع الميزانية تدريجياً",IF(O23/H23&gt;=الإعدادات!$B$7,IF(AND(X23&lt;&gt;"",X23&lt;0),"رابحة — حدّث الإبداعات لرفع CTR","رابحة — حافظ وحسّن"),"تحت التعادل — حسّن الصفحة/العرض أو أوقف"))))))</f>
        <v/>
      </c>
    </row>
    <row r="24" customFormat="false" ht="15" hidden="false" customHeight="false" outlineLevel="0" collapsed="false">
      <c r="A24" s="14"/>
      <c r="B24" s="14"/>
      <c r="C24" s="14"/>
      <c r="D24" s="14"/>
      <c r="E24" s="14"/>
      <c r="F24" s="14"/>
      <c r="G24" s="14"/>
      <c r="H24" s="19"/>
      <c r="I24" s="22"/>
      <c r="J24" s="22"/>
      <c r="K24" s="22"/>
      <c r="L24" s="22"/>
      <c r="M24" s="22"/>
      <c r="N24" s="22"/>
      <c r="O24" s="19"/>
      <c r="P24" s="23" t="str">
        <f aca="false">IF(I24&gt;0,K24/I24,"")</f>
        <v/>
      </c>
      <c r="Q24" s="20" t="str">
        <f aca="false">IF(K24&gt;0,H24/K24,"")</f>
        <v/>
      </c>
      <c r="R24" s="20" t="str">
        <f aca="false">IF(I24&gt;0,H24/I24*1000,"")</f>
        <v/>
      </c>
      <c r="S24" s="23" t="str">
        <f aca="false">IF(K24&gt;0,N24/K24,"")</f>
        <v/>
      </c>
      <c r="T24" s="20" t="str">
        <f aca="false">IF(N24&gt;0,H24/N24,"")</f>
        <v/>
      </c>
      <c r="U24" s="18" t="str">
        <f aca="false">IF(H24&gt;0,O24/H24,"")</f>
        <v/>
      </c>
      <c r="V24" s="20" t="str">
        <f aca="false">IF(N24&gt;0,O24/N24,"")</f>
        <v/>
      </c>
      <c r="W24" s="20" t="str">
        <f aca="false">IF(H24&gt;0,O24*الإعدادات!$B$5-H24,"")</f>
        <v/>
      </c>
      <c r="X24" s="23" t="str">
        <f aca="false">IF(AND(I24&gt;0,A24&lt;&gt;""),P24-IFERROR(INDEX(الإعدادات!$B$15:$B$18,MATCH(A24,الإعدادات!$A$15:$A$18,0)),0),"")</f>
        <v/>
      </c>
      <c r="Y24" s="12" t="str">
        <f aca="false">IF(H24="","",IF(H24&lt;الإعدادات!$B$9,"بيانات غير كافية — انتظر",IF(N24=0,"إيقاف أو إعادة بناء (إنفاق بلا مبيعات)",IF(H24/N24&gt;الإعدادات!$B$8*1.5,"خفض الميزانية + اختبار إبداعات جديدة",IF(O24/H24&gt;=الإعدادات!$B$6*1.2,"توسيع الميزانية تدريجياً",IF(O24/H24&gt;=الإعدادات!$B$7,IF(AND(X24&lt;&gt;"",X24&lt;0),"رابحة — حدّث الإبداعات لرفع CTR","رابحة — حافظ وحسّن"),"تحت التعادل — حسّن الصفحة/العرض أو أوقف"))))))</f>
        <v/>
      </c>
    </row>
    <row r="25" customFormat="false" ht="15" hidden="false" customHeight="false" outlineLevel="0" collapsed="false">
      <c r="A25" s="14"/>
      <c r="B25" s="14"/>
      <c r="C25" s="14"/>
      <c r="D25" s="14"/>
      <c r="E25" s="14"/>
      <c r="F25" s="14"/>
      <c r="G25" s="14"/>
      <c r="H25" s="19"/>
      <c r="I25" s="22"/>
      <c r="J25" s="22"/>
      <c r="K25" s="22"/>
      <c r="L25" s="22"/>
      <c r="M25" s="22"/>
      <c r="N25" s="22"/>
      <c r="O25" s="19"/>
      <c r="P25" s="23" t="str">
        <f aca="false">IF(I25&gt;0,K25/I25,"")</f>
        <v/>
      </c>
      <c r="Q25" s="20" t="str">
        <f aca="false">IF(K25&gt;0,H25/K25,"")</f>
        <v/>
      </c>
      <c r="R25" s="20" t="str">
        <f aca="false">IF(I25&gt;0,H25/I25*1000,"")</f>
        <v/>
      </c>
      <c r="S25" s="23" t="str">
        <f aca="false">IF(K25&gt;0,N25/K25,"")</f>
        <v/>
      </c>
      <c r="T25" s="20" t="str">
        <f aca="false">IF(N25&gt;0,H25/N25,"")</f>
        <v/>
      </c>
      <c r="U25" s="18" t="str">
        <f aca="false">IF(H25&gt;0,O25/H25,"")</f>
        <v/>
      </c>
      <c r="V25" s="20" t="str">
        <f aca="false">IF(N25&gt;0,O25/N25,"")</f>
        <v/>
      </c>
      <c r="W25" s="20" t="str">
        <f aca="false">IF(H25&gt;0,O25*الإعدادات!$B$5-H25,"")</f>
        <v/>
      </c>
      <c r="X25" s="23" t="str">
        <f aca="false">IF(AND(I25&gt;0,A25&lt;&gt;""),P25-IFERROR(INDEX(الإعدادات!$B$15:$B$18,MATCH(A25,الإعدادات!$A$15:$A$18,0)),0),"")</f>
        <v/>
      </c>
      <c r="Y25" s="12" t="str">
        <f aca="false">IF(H25="","",IF(H25&lt;الإعدادات!$B$9,"بيانات غير كافية — انتظر",IF(N25=0,"إيقاف أو إعادة بناء (إنفاق بلا مبيعات)",IF(H25/N25&gt;الإعدادات!$B$8*1.5,"خفض الميزانية + اختبار إبداعات جديدة",IF(O25/H25&gt;=الإعدادات!$B$6*1.2,"توسيع الميزانية تدريجياً",IF(O25/H25&gt;=الإعدادات!$B$7,IF(AND(X25&lt;&gt;"",X25&lt;0),"رابحة — حدّث الإبداعات لرفع CTR","رابحة — حافظ وحسّن"),"تحت التعادل — حسّن الصفحة/العرض أو أوقف"))))))</f>
        <v/>
      </c>
    </row>
    <row r="26" customFormat="false" ht="15" hidden="false" customHeight="false" outlineLevel="0" collapsed="false">
      <c r="A26" s="14"/>
      <c r="B26" s="14"/>
      <c r="C26" s="14"/>
      <c r="D26" s="14"/>
      <c r="E26" s="14"/>
      <c r="F26" s="14"/>
      <c r="G26" s="14"/>
      <c r="H26" s="19"/>
      <c r="I26" s="22"/>
      <c r="J26" s="22"/>
      <c r="K26" s="22"/>
      <c r="L26" s="22"/>
      <c r="M26" s="22"/>
      <c r="N26" s="22"/>
      <c r="O26" s="19"/>
      <c r="P26" s="23" t="str">
        <f aca="false">IF(I26&gt;0,K26/I26,"")</f>
        <v/>
      </c>
      <c r="Q26" s="20" t="str">
        <f aca="false">IF(K26&gt;0,H26/K26,"")</f>
        <v/>
      </c>
      <c r="R26" s="20" t="str">
        <f aca="false">IF(I26&gt;0,H26/I26*1000,"")</f>
        <v/>
      </c>
      <c r="S26" s="23" t="str">
        <f aca="false">IF(K26&gt;0,N26/K26,"")</f>
        <v/>
      </c>
      <c r="T26" s="20" t="str">
        <f aca="false">IF(N26&gt;0,H26/N26,"")</f>
        <v/>
      </c>
      <c r="U26" s="18" t="str">
        <f aca="false">IF(H26&gt;0,O26/H26,"")</f>
        <v/>
      </c>
      <c r="V26" s="20" t="str">
        <f aca="false">IF(N26&gt;0,O26/N26,"")</f>
        <v/>
      </c>
      <c r="W26" s="20" t="str">
        <f aca="false">IF(H26&gt;0,O26*الإعدادات!$B$5-H26,"")</f>
        <v/>
      </c>
      <c r="X26" s="23" t="str">
        <f aca="false">IF(AND(I26&gt;0,A26&lt;&gt;""),P26-IFERROR(INDEX(الإعدادات!$B$15:$B$18,MATCH(A26,الإعدادات!$A$15:$A$18,0)),0),"")</f>
        <v/>
      </c>
      <c r="Y26" s="12" t="str">
        <f aca="false">IF(H26="","",IF(H26&lt;الإعدادات!$B$9,"بيانات غير كافية — انتظر",IF(N26=0,"إيقاف أو إعادة بناء (إنفاق بلا مبيعات)",IF(H26/N26&gt;الإعدادات!$B$8*1.5,"خفض الميزانية + اختبار إبداعات جديدة",IF(O26/H26&gt;=الإعدادات!$B$6*1.2,"توسيع الميزانية تدريجياً",IF(O26/H26&gt;=الإعدادات!$B$7,IF(AND(X26&lt;&gt;"",X26&lt;0),"رابحة — حدّث الإبداعات لرفع CTR","رابحة — حافظ وحسّن"),"تحت التعادل — حسّن الصفحة/العرض أو أوقف"))))))</f>
        <v/>
      </c>
    </row>
    <row r="27" customFormat="false" ht="15" hidden="false" customHeight="false" outlineLevel="0" collapsed="false">
      <c r="A27" s="14"/>
      <c r="B27" s="14"/>
      <c r="C27" s="14"/>
      <c r="D27" s="14"/>
      <c r="E27" s="14"/>
      <c r="F27" s="14"/>
      <c r="G27" s="14"/>
      <c r="H27" s="19"/>
      <c r="I27" s="22"/>
      <c r="J27" s="22"/>
      <c r="K27" s="22"/>
      <c r="L27" s="22"/>
      <c r="M27" s="22"/>
      <c r="N27" s="22"/>
      <c r="O27" s="19"/>
      <c r="P27" s="23" t="str">
        <f aca="false">IF(I27&gt;0,K27/I27,"")</f>
        <v/>
      </c>
      <c r="Q27" s="20" t="str">
        <f aca="false">IF(K27&gt;0,H27/K27,"")</f>
        <v/>
      </c>
      <c r="R27" s="20" t="str">
        <f aca="false">IF(I27&gt;0,H27/I27*1000,"")</f>
        <v/>
      </c>
      <c r="S27" s="23" t="str">
        <f aca="false">IF(K27&gt;0,N27/K27,"")</f>
        <v/>
      </c>
      <c r="T27" s="20" t="str">
        <f aca="false">IF(N27&gt;0,H27/N27,"")</f>
        <v/>
      </c>
      <c r="U27" s="18" t="str">
        <f aca="false">IF(H27&gt;0,O27/H27,"")</f>
        <v/>
      </c>
      <c r="V27" s="20" t="str">
        <f aca="false">IF(N27&gt;0,O27/N27,"")</f>
        <v/>
      </c>
      <c r="W27" s="20" t="str">
        <f aca="false">IF(H27&gt;0,O27*الإعدادات!$B$5-H27,"")</f>
        <v/>
      </c>
      <c r="X27" s="23" t="str">
        <f aca="false">IF(AND(I27&gt;0,A27&lt;&gt;""),P27-IFERROR(INDEX(الإعدادات!$B$15:$B$18,MATCH(A27,الإعدادات!$A$15:$A$18,0)),0),"")</f>
        <v/>
      </c>
      <c r="Y27" s="12" t="str">
        <f aca="false">IF(H27="","",IF(H27&lt;الإعدادات!$B$9,"بيانات غير كافية — انتظر",IF(N27=0,"إيقاف أو إعادة بناء (إنفاق بلا مبيعات)",IF(H27/N27&gt;الإعدادات!$B$8*1.5,"خفض الميزانية + اختبار إبداعات جديدة",IF(O27/H27&gt;=الإعدادات!$B$6*1.2,"توسيع الميزانية تدريجياً",IF(O27/H27&gt;=الإعدادات!$B$7,IF(AND(X27&lt;&gt;"",X27&lt;0),"رابحة — حدّث الإبداعات لرفع CTR","رابحة — حافظ وحسّن"),"تحت التعادل — حسّن الصفحة/العرض أو أوقف"))))))</f>
        <v/>
      </c>
    </row>
    <row r="28" customFormat="false" ht="15" hidden="false" customHeight="false" outlineLevel="0" collapsed="false">
      <c r="A28" s="14"/>
      <c r="B28" s="14"/>
      <c r="C28" s="14"/>
      <c r="D28" s="14"/>
      <c r="E28" s="14"/>
      <c r="F28" s="14"/>
      <c r="G28" s="14"/>
      <c r="H28" s="19"/>
      <c r="I28" s="22"/>
      <c r="J28" s="22"/>
      <c r="K28" s="22"/>
      <c r="L28" s="22"/>
      <c r="M28" s="22"/>
      <c r="N28" s="22"/>
      <c r="O28" s="19"/>
      <c r="P28" s="23" t="str">
        <f aca="false">IF(I28&gt;0,K28/I28,"")</f>
        <v/>
      </c>
      <c r="Q28" s="20" t="str">
        <f aca="false">IF(K28&gt;0,H28/K28,"")</f>
        <v/>
      </c>
      <c r="R28" s="20" t="str">
        <f aca="false">IF(I28&gt;0,H28/I28*1000,"")</f>
        <v/>
      </c>
      <c r="S28" s="23" t="str">
        <f aca="false">IF(K28&gt;0,N28/K28,"")</f>
        <v/>
      </c>
      <c r="T28" s="20" t="str">
        <f aca="false">IF(N28&gt;0,H28/N28,"")</f>
        <v/>
      </c>
      <c r="U28" s="18" t="str">
        <f aca="false">IF(H28&gt;0,O28/H28,"")</f>
        <v/>
      </c>
      <c r="V28" s="20" t="str">
        <f aca="false">IF(N28&gt;0,O28/N28,"")</f>
        <v/>
      </c>
      <c r="W28" s="20" t="str">
        <f aca="false">IF(H28&gt;0,O28*الإعدادات!$B$5-H28,"")</f>
        <v/>
      </c>
      <c r="X28" s="23" t="str">
        <f aca="false">IF(AND(I28&gt;0,A28&lt;&gt;""),P28-IFERROR(INDEX(الإعدادات!$B$15:$B$18,MATCH(A28,الإعدادات!$A$15:$A$18,0)),0),"")</f>
        <v/>
      </c>
      <c r="Y28" s="12" t="str">
        <f aca="false">IF(H28="","",IF(H28&lt;الإعدادات!$B$9,"بيانات غير كافية — انتظر",IF(N28=0,"إيقاف أو إعادة بناء (إنفاق بلا مبيعات)",IF(H28/N28&gt;الإعدادات!$B$8*1.5,"خفض الميزانية + اختبار إبداعات جديدة",IF(O28/H28&gt;=الإعدادات!$B$6*1.2,"توسيع الميزانية تدريجياً",IF(O28/H28&gt;=الإعدادات!$B$7,IF(AND(X28&lt;&gt;"",X28&lt;0),"رابحة — حدّث الإبداعات لرفع CTR","رابحة — حافظ وحسّن"),"تحت التعادل — حسّن الصفحة/العرض أو أوقف"))))))</f>
        <v/>
      </c>
    </row>
    <row r="29" customFormat="false" ht="15" hidden="false" customHeight="false" outlineLevel="0" collapsed="false">
      <c r="A29" s="14"/>
      <c r="B29" s="14"/>
      <c r="C29" s="14"/>
      <c r="D29" s="14"/>
      <c r="E29" s="14"/>
      <c r="F29" s="14"/>
      <c r="G29" s="14"/>
      <c r="H29" s="19"/>
      <c r="I29" s="22"/>
      <c r="J29" s="22"/>
      <c r="K29" s="22"/>
      <c r="L29" s="22"/>
      <c r="M29" s="22"/>
      <c r="N29" s="22"/>
      <c r="O29" s="19"/>
      <c r="P29" s="23" t="str">
        <f aca="false">IF(I29&gt;0,K29/I29,"")</f>
        <v/>
      </c>
      <c r="Q29" s="20" t="str">
        <f aca="false">IF(K29&gt;0,H29/K29,"")</f>
        <v/>
      </c>
      <c r="R29" s="20" t="str">
        <f aca="false">IF(I29&gt;0,H29/I29*1000,"")</f>
        <v/>
      </c>
      <c r="S29" s="23" t="str">
        <f aca="false">IF(K29&gt;0,N29/K29,"")</f>
        <v/>
      </c>
      <c r="T29" s="20" t="str">
        <f aca="false">IF(N29&gt;0,H29/N29,"")</f>
        <v/>
      </c>
      <c r="U29" s="18" t="str">
        <f aca="false">IF(H29&gt;0,O29/H29,"")</f>
        <v/>
      </c>
      <c r="V29" s="20" t="str">
        <f aca="false">IF(N29&gt;0,O29/N29,"")</f>
        <v/>
      </c>
      <c r="W29" s="20" t="str">
        <f aca="false">IF(H29&gt;0,O29*الإعدادات!$B$5-H29,"")</f>
        <v/>
      </c>
      <c r="X29" s="23" t="str">
        <f aca="false">IF(AND(I29&gt;0,A29&lt;&gt;""),P29-IFERROR(INDEX(الإعدادات!$B$15:$B$18,MATCH(A29,الإعدادات!$A$15:$A$18,0)),0),"")</f>
        <v/>
      </c>
      <c r="Y29" s="12" t="str">
        <f aca="false">IF(H29="","",IF(H29&lt;الإعدادات!$B$9,"بيانات غير كافية — انتظر",IF(N29=0,"إيقاف أو إعادة بناء (إنفاق بلا مبيعات)",IF(H29/N29&gt;الإعدادات!$B$8*1.5,"خفض الميزانية + اختبار إبداعات جديدة",IF(O29/H29&gt;=الإعدادات!$B$6*1.2,"توسيع الميزانية تدريجياً",IF(O29/H29&gt;=الإعدادات!$B$7,IF(AND(X29&lt;&gt;"",X29&lt;0),"رابحة — حدّث الإبداعات لرفع CTR","رابحة — حافظ وحسّن"),"تحت التعادل — حسّن الصفحة/العرض أو أوقف"))))))</f>
        <v/>
      </c>
    </row>
    <row r="30" customFormat="false" ht="15" hidden="false" customHeight="false" outlineLevel="0" collapsed="false">
      <c r="A30" s="14"/>
      <c r="B30" s="14"/>
      <c r="C30" s="14"/>
      <c r="D30" s="14"/>
      <c r="E30" s="14"/>
      <c r="F30" s="14"/>
      <c r="G30" s="14"/>
      <c r="H30" s="19"/>
      <c r="I30" s="22"/>
      <c r="J30" s="22"/>
      <c r="K30" s="22"/>
      <c r="L30" s="22"/>
      <c r="M30" s="22"/>
      <c r="N30" s="22"/>
      <c r="O30" s="19"/>
      <c r="P30" s="23" t="str">
        <f aca="false">IF(I30&gt;0,K30/I30,"")</f>
        <v/>
      </c>
      <c r="Q30" s="20" t="str">
        <f aca="false">IF(K30&gt;0,H30/K30,"")</f>
        <v/>
      </c>
      <c r="R30" s="20" t="str">
        <f aca="false">IF(I30&gt;0,H30/I30*1000,"")</f>
        <v/>
      </c>
      <c r="S30" s="23" t="str">
        <f aca="false">IF(K30&gt;0,N30/K30,"")</f>
        <v/>
      </c>
      <c r="T30" s="20" t="str">
        <f aca="false">IF(N30&gt;0,H30/N30,"")</f>
        <v/>
      </c>
      <c r="U30" s="18" t="str">
        <f aca="false">IF(H30&gt;0,O30/H30,"")</f>
        <v/>
      </c>
      <c r="V30" s="20" t="str">
        <f aca="false">IF(N30&gt;0,O30/N30,"")</f>
        <v/>
      </c>
      <c r="W30" s="20" t="str">
        <f aca="false">IF(H30&gt;0,O30*الإعدادات!$B$5-H30,"")</f>
        <v/>
      </c>
      <c r="X30" s="23" t="str">
        <f aca="false">IF(AND(I30&gt;0,A30&lt;&gt;""),P30-IFERROR(INDEX(الإعدادات!$B$15:$B$18,MATCH(A30,الإعدادات!$A$15:$A$18,0)),0),"")</f>
        <v/>
      </c>
      <c r="Y30" s="12" t="str">
        <f aca="false">IF(H30="","",IF(H30&lt;الإعدادات!$B$9,"بيانات غير كافية — انتظر",IF(N30=0,"إيقاف أو إعادة بناء (إنفاق بلا مبيعات)",IF(H30/N30&gt;الإعدادات!$B$8*1.5,"خفض الميزانية + اختبار إبداعات جديدة",IF(O30/H30&gt;=الإعدادات!$B$6*1.2,"توسيع الميزانية تدريجياً",IF(O30/H30&gt;=الإعدادات!$B$7,IF(AND(X30&lt;&gt;"",X30&lt;0),"رابحة — حدّث الإبداعات لرفع CTR","رابحة — حافظ وحسّن"),"تحت التعادل — حسّن الصفحة/العرض أو أوقف"))))))</f>
        <v/>
      </c>
    </row>
    <row r="31" customFormat="false" ht="15" hidden="false" customHeight="false" outlineLevel="0" collapsed="false">
      <c r="A31" s="14"/>
      <c r="B31" s="14"/>
      <c r="C31" s="14"/>
      <c r="D31" s="14"/>
      <c r="E31" s="14"/>
      <c r="F31" s="14"/>
      <c r="G31" s="14"/>
      <c r="H31" s="19"/>
      <c r="I31" s="22"/>
      <c r="J31" s="22"/>
      <c r="K31" s="22"/>
      <c r="L31" s="22"/>
      <c r="M31" s="22"/>
      <c r="N31" s="22"/>
      <c r="O31" s="19"/>
      <c r="P31" s="23" t="str">
        <f aca="false">IF(I31&gt;0,K31/I31,"")</f>
        <v/>
      </c>
      <c r="Q31" s="20" t="str">
        <f aca="false">IF(K31&gt;0,H31/K31,"")</f>
        <v/>
      </c>
      <c r="R31" s="20" t="str">
        <f aca="false">IF(I31&gt;0,H31/I31*1000,"")</f>
        <v/>
      </c>
      <c r="S31" s="23" t="str">
        <f aca="false">IF(K31&gt;0,N31/K31,"")</f>
        <v/>
      </c>
      <c r="T31" s="20" t="str">
        <f aca="false">IF(N31&gt;0,H31/N31,"")</f>
        <v/>
      </c>
      <c r="U31" s="18" t="str">
        <f aca="false">IF(H31&gt;0,O31/H31,"")</f>
        <v/>
      </c>
      <c r="V31" s="20" t="str">
        <f aca="false">IF(N31&gt;0,O31/N31,"")</f>
        <v/>
      </c>
      <c r="W31" s="20" t="str">
        <f aca="false">IF(H31&gt;0,O31*الإعدادات!$B$5-H31,"")</f>
        <v/>
      </c>
      <c r="X31" s="23" t="str">
        <f aca="false">IF(AND(I31&gt;0,A31&lt;&gt;""),P31-IFERROR(INDEX(الإعدادات!$B$15:$B$18,MATCH(A31,الإعدادات!$A$15:$A$18,0)),0),"")</f>
        <v/>
      </c>
      <c r="Y31" s="12" t="str">
        <f aca="false">IF(H31="","",IF(H31&lt;الإعدادات!$B$9,"بيانات غير كافية — انتظر",IF(N31=0,"إيقاف أو إعادة بناء (إنفاق بلا مبيعات)",IF(H31/N31&gt;الإعدادات!$B$8*1.5,"خفض الميزانية + اختبار إبداعات جديدة",IF(O31/H31&gt;=الإعدادات!$B$6*1.2,"توسيع الميزانية تدريجياً",IF(O31/H31&gt;=الإعدادات!$B$7,IF(AND(X31&lt;&gt;"",X31&lt;0),"رابحة — حدّث الإبداعات لرفع CTR","رابحة — حافظ وحسّن"),"تحت التعادل — حسّن الصفحة/العرض أو أوقف"))))))</f>
        <v/>
      </c>
    </row>
    <row r="32" customFormat="false" ht="15" hidden="false" customHeight="false" outlineLevel="0" collapsed="false">
      <c r="A32" s="14"/>
      <c r="B32" s="14"/>
      <c r="C32" s="14"/>
      <c r="D32" s="14"/>
      <c r="E32" s="14"/>
      <c r="F32" s="14"/>
      <c r="G32" s="14"/>
      <c r="H32" s="19"/>
      <c r="I32" s="22"/>
      <c r="J32" s="22"/>
      <c r="K32" s="22"/>
      <c r="L32" s="22"/>
      <c r="M32" s="22"/>
      <c r="N32" s="22"/>
      <c r="O32" s="19"/>
      <c r="P32" s="23" t="str">
        <f aca="false">IF(I32&gt;0,K32/I32,"")</f>
        <v/>
      </c>
      <c r="Q32" s="20" t="str">
        <f aca="false">IF(K32&gt;0,H32/K32,"")</f>
        <v/>
      </c>
      <c r="R32" s="20" t="str">
        <f aca="false">IF(I32&gt;0,H32/I32*1000,"")</f>
        <v/>
      </c>
      <c r="S32" s="23" t="str">
        <f aca="false">IF(K32&gt;0,N32/K32,"")</f>
        <v/>
      </c>
      <c r="T32" s="20" t="str">
        <f aca="false">IF(N32&gt;0,H32/N32,"")</f>
        <v/>
      </c>
      <c r="U32" s="18" t="str">
        <f aca="false">IF(H32&gt;0,O32/H32,"")</f>
        <v/>
      </c>
      <c r="V32" s="20" t="str">
        <f aca="false">IF(N32&gt;0,O32/N32,"")</f>
        <v/>
      </c>
      <c r="W32" s="20" t="str">
        <f aca="false">IF(H32&gt;0,O32*الإعدادات!$B$5-H32,"")</f>
        <v/>
      </c>
      <c r="X32" s="23" t="str">
        <f aca="false">IF(AND(I32&gt;0,A32&lt;&gt;""),P32-IFERROR(INDEX(الإعدادات!$B$15:$B$18,MATCH(A32,الإعدادات!$A$15:$A$18,0)),0),"")</f>
        <v/>
      </c>
      <c r="Y32" s="12" t="str">
        <f aca="false">IF(H32="","",IF(H32&lt;الإعدادات!$B$9,"بيانات غير كافية — انتظر",IF(N32=0,"إيقاف أو إعادة بناء (إنفاق بلا مبيعات)",IF(H32/N32&gt;الإعدادات!$B$8*1.5,"خفض الميزانية + اختبار إبداعات جديدة",IF(O32/H32&gt;=الإعدادات!$B$6*1.2,"توسيع الميزانية تدريجياً",IF(O32/H32&gt;=الإعدادات!$B$7,IF(AND(X32&lt;&gt;"",X32&lt;0),"رابحة — حدّث الإبداعات لرفع CTR","رابحة — حافظ وحسّن"),"تحت التعادل — حسّن الصفحة/العرض أو أوقف"))))))</f>
        <v/>
      </c>
    </row>
    <row r="33" customFormat="false" ht="15" hidden="false" customHeight="false" outlineLevel="0" collapsed="false">
      <c r="A33" s="14"/>
      <c r="B33" s="14"/>
      <c r="C33" s="14"/>
      <c r="D33" s="14"/>
      <c r="E33" s="14"/>
      <c r="F33" s="14"/>
      <c r="G33" s="14"/>
      <c r="H33" s="19"/>
      <c r="I33" s="22"/>
      <c r="J33" s="22"/>
      <c r="K33" s="22"/>
      <c r="L33" s="22"/>
      <c r="M33" s="22"/>
      <c r="N33" s="22"/>
      <c r="O33" s="19"/>
      <c r="P33" s="23" t="str">
        <f aca="false">IF(I33&gt;0,K33/I33,"")</f>
        <v/>
      </c>
      <c r="Q33" s="20" t="str">
        <f aca="false">IF(K33&gt;0,H33/K33,"")</f>
        <v/>
      </c>
      <c r="R33" s="20" t="str">
        <f aca="false">IF(I33&gt;0,H33/I33*1000,"")</f>
        <v/>
      </c>
      <c r="S33" s="23" t="str">
        <f aca="false">IF(K33&gt;0,N33/K33,"")</f>
        <v/>
      </c>
      <c r="T33" s="20" t="str">
        <f aca="false">IF(N33&gt;0,H33/N33,"")</f>
        <v/>
      </c>
      <c r="U33" s="18" t="str">
        <f aca="false">IF(H33&gt;0,O33/H33,"")</f>
        <v/>
      </c>
      <c r="V33" s="20" t="str">
        <f aca="false">IF(N33&gt;0,O33/N33,"")</f>
        <v/>
      </c>
      <c r="W33" s="20" t="str">
        <f aca="false">IF(H33&gt;0,O33*الإعدادات!$B$5-H33,"")</f>
        <v/>
      </c>
      <c r="X33" s="23" t="str">
        <f aca="false">IF(AND(I33&gt;0,A33&lt;&gt;""),P33-IFERROR(INDEX(الإعدادات!$B$15:$B$18,MATCH(A33,الإعدادات!$A$15:$A$18,0)),0),"")</f>
        <v/>
      </c>
      <c r="Y33" s="12" t="str">
        <f aca="false">IF(H33="","",IF(H33&lt;الإعدادات!$B$9,"بيانات غير كافية — انتظر",IF(N33=0,"إيقاف أو إعادة بناء (إنفاق بلا مبيعات)",IF(H33/N33&gt;الإعدادات!$B$8*1.5,"خفض الميزانية + اختبار إبداعات جديدة",IF(O33/H33&gt;=الإعدادات!$B$6*1.2,"توسيع الميزانية تدريجياً",IF(O33/H33&gt;=الإعدادات!$B$7,IF(AND(X33&lt;&gt;"",X33&lt;0),"رابحة — حدّث الإبداعات لرفع CTR","رابحة — حافظ وحسّن"),"تحت التعادل — حسّن الصفحة/العرض أو أوقف"))))))</f>
        <v/>
      </c>
    </row>
    <row r="34" customFormat="false" ht="15" hidden="false" customHeight="false" outlineLevel="0" collapsed="false">
      <c r="A34" s="14"/>
      <c r="B34" s="14"/>
      <c r="C34" s="14"/>
      <c r="D34" s="14"/>
      <c r="E34" s="14"/>
      <c r="F34" s="14"/>
      <c r="G34" s="14"/>
      <c r="H34" s="19"/>
      <c r="I34" s="22"/>
      <c r="J34" s="22"/>
      <c r="K34" s="22"/>
      <c r="L34" s="22"/>
      <c r="M34" s="22"/>
      <c r="N34" s="22"/>
      <c r="O34" s="19"/>
      <c r="P34" s="23" t="str">
        <f aca="false">IF(I34&gt;0,K34/I34,"")</f>
        <v/>
      </c>
      <c r="Q34" s="20" t="str">
        <f aca="false">IF(K34&gt;0,H34/K34,"")</f>
        <v/>
      </c>
      <c r="R34" s="20" t="str">
        <f aca="false">IF(I34&gt;0,H34/I34*1000,"")</f>
        <v/>
      </c>
      <c r="S34" s="23" t="str">
        <f aca="false">IF(K34&gt;0,N34/K34,"")</f>
        <v/>
      </c>
      <c r="T34" s="20" t="str">
        <f aca="false">IF(N34&gt;0,H34/N34,"")</f>
        <v/>
      </c>
      <c r="U34" s="18" t="str">
        <f aca="false">IF(H34&gt;0,O34/H34,"")</f>
        <v/>
      </c>
      <c r="V34" s="20" t="str">
        <f aca="false">IF(N34&gt;0,O34/N34,"")</f>
        <v/>
      </c>
      <c r="W34" s="20" t="str">
        <f aca="false">IF(H34&gt;0,O34*الإعدادات!$B$5-H34,"")</f>
        <v/>
      </c>
      <c r="X34" s="23" t="str">
        <f aca="false">IF(AND(I34&gt;0,A34&lt;&gt;""),P34-IFERROR(INDEX(الإعدادات!$B$15:$B$18,MATCH(A34,الإعدادات!$A$15:$A$18,0)),0),"")</f>
        <v/>
      </c>
      <c r="Y34" s="12" t="str">
        <f aca="false">IF(H34="","",IF(H34&lt;الإعدادات!$B$9,"بيانات غير كافية — انتظر",IF(N34=0,"إيقاف أو إعادة بناء (إنفاق بلا مبيعات)",IF(H34/N34&gt;الإعدادات!$B$8*1.5,"خفض الميزانية + اختبار إبداعات جديدة",IF(O34/H34&gt;=الإعدادات!$B$6*1.2,"توسيع الميزانية تدريجياً",IF(O34/H34&gt;=الإعدادات!$B$7,IF(AND(X34&lt;&gt;"",X34&lt;0),"رابحة — حدّث الإبداعات لرفع CTR","رابحة — حافظ وحسّن"),"تحت التعادل — حسّن الصفحة/العرض أو أوقف"))))))</f>
        <v/>
      </c>
    </row>
    <row r="35" customFormat="false" ht="15" hidden="false" customHeight="false" outlineLevel="0" collapsed="false">
      <c r="A35" s="14"/>
      <c r="B35" s="14"/>
      <c r="C35" s="14"/>
      <c r="D35" s="14"/>
      <c r="E35" s="14"/>
      <c r="F35" s="14"/>
      <c r="G35" s="14"/>
      <c r="H35" s="19"/>
      <c r="I35" s="22"/>
      <c r="J35" s="22"/>
      <c r="K35" s="22"/>
      <c r="L35" s="22"/>
      <c r="M35" s="22"/>
      <c r="N35" s="22"/>
      <c r="O35" s="19"/>
      <c r="P35" s="23" t="str">
        <f aca="false">IF(I35&gt;0,K35/I35,"")</f>
        <v/>
      </c>
      <c r="Q35" s="20" t="str">
        <f aca="false">IF(K35&gt;0,H35/K35,"")</f>
        <v/>
      </c>
      <c r="R35" s="20" t="str">
        <f aca="false">IF(I35&gt;0,H35/I35*1000,"")</f>
        <v/>
      </c>
      <c r="S35" s="23" t="str">
        <f aca="false">IF(K35&gt;0,N35/K35,"")</f>
        <v/>
      </c>
      <c r="T35" s="20" t="str">
        <f aca="false">IF(N35&gt;0,H35/N35,"")</f>
        <v/>
      </c>
      <c r="U35" s="18" t="str">
        <f aca="false">IF(H35&gt;0,O35/H35,"")</f>
        <v/>
      </c>
      <c r="V35" s="20" t="str">
        <f aca="false">IF(N35&gt;0,O35/N35,"")</f>
        <v/>
      </c>
      <c r="W35" s="20" t="str">
        <f aca="false">IF(H35&gt;0,O35*الإعدادات!$B$5-H35,"")</f>
        <v/>
      </c>
      <c r="X35" s="23" t="str">
        <f aca="false">IF(AND(I35&gt;0,A35&lt;&gt;""),P35-IFERROR(INDEX(الإعدادات!$B$15:$B$18,MATCH(A35,الإعدادات!$A$15:$A$18,0)),0),"")</f>
        <v/>
      </c>
      <c r="Y35" s="12" t="str">
        <f aca="false">IF(H35="","",IF(H35&lt;الإعدادات!$B$9,"بيانات غير كافية — انتظر",IF(N35=0,"إيقاف أو إعادة بناء (إنفاق بلا مبيعات)",IF(H35/N35&gt;الإعدادات!$B$8*1.5,"خفض الميزانية + اختبار إبداعات جديدة",IF(O35/H35&gt;=الإعدادات!$B$6*1.2,"توسيع الميزانية تدريجياً",IF(O35/H35&gt;=الإعدادات!$B$7,IF(AND(X35&lt;&gt;"",X35&lt;0),"رابحة — حدّث الإبداعات لرفع CTR","رابحة — حافظ وحسّن"),"تحت التعادل — حسّن الصفحة/العرض أو أوقف"))))))</f>
        <v/>
      </c>
    </row>
    <row r="36" customFormat="false" ht="15" hidden="false" customHeight="false" outlineLevel="0" collapsed="false">
      <c r="A36" s="14"/>
      <c r="B36" s="14"/>
      <c r="C36" s="14"/>
      <c r="D36" s="14"/>
      <c r="E36" s="14"/>
      <c r="F36" s="14"/>
      <c r="G36" s="14"/>
      <c r="H36" s="19"/>
      <c r="I36" s="22"/>
      <c r="J36" s="22"/>
      <c r="K36" s="22"/>
      <c r="L36" s="22"/>
      <c r="M36" s="22"/>
      <c r="N36" s="22"/>
      <c r="O36" s="19"/>
      <c r="P36" s="23" t="str">
        <f aca="false">IF(I36&gt;0,K36/I36,"")</f>
        <v/>
      </c>
      <c r="Q36" s="20" t="str">
        <f aca="false">IF(K36&gt;0,H36/K36,"")</f>
        <v/>
      </c>
      <c r="R36" s="20" t="str">
        <f aca="false">IF(I36&gt;0,H36/I36*1000,"")</f>
        <v/>
      </c>
      <c r="S36" s="23" t="str">
        <f aca="false">IF(K36&gt;0,N36/K36,"")</f>
        <v/>
      </c>
      <c r="T36" s="20" t="str">
        <f aca="false">IF(N36&gt;0,H36/N36,"")</f>
        <v/>
      </c>
      <c r="U36" s="18" t="str">
        <f aca="false">IF(H36&gt;0,O36/H36,"")</f>
        <v/>
      </c>
      <c r="V36" s="20" t="str">
        <f aca="false">IF(N36&gt;0,O36/N36,"")</f>
        <v/>
      </c>
      <c r="W36" s="20" t="str">
        <f aca="false">IF(H36&gt;0,O36*الإعدادات!$B$5-H36,"")</f>
        <v/>
      </c>
      <c r="X36" s="23" t="str">
        <f aca="false">IF(AND(I36&gt;0,A36&lt;&gt;""),P36-IFERROR(INDEX(الإعدادات!$B$15:$B$18,MATCH(A36,الإعدادات!$A$15:$A$18,0)),0),"")</f>
        <v/>
      </c>
      <c r="Y36" s="12" t="str">
        <f aca="false">IF(H36="","",IF(H36&lt;الإعدادات!$B$9,"بيانات غير كافية — انتظر",IF(N36=0,"إيقاف أو إعادة بناء (إنفاق بلا مبيعات)",IF(H36/N36&gt;الإعدادات!$B$8*1.5,"خفض الميزانية + اختبار إبداعات جديدة",IF(O36/H36&gt;=الإعدادات!$B$6*1.2,"توسيع الميزانية تدريجياً",IF(O36/H36&gt;=الإعدادات!$B$7,IF(AND(X36&lt;&gt;"",X36&lt;0),"رابحة — حدّث الإبداعات لرفع CTR","رابحة — حافظ وحسّن"),"تحت التعادل — حسّن الصفحة/العرض أو أوقف"))))))</f>
        <v/>
      </c>
    </row>
    <row r="37" customFormat="false" ht="15" hidden="false" customHeight="false" outlineLevel="0" collapsed="false">
      <c r="A37" s="14"/>
      <c r="B37" s="14"/>
      <c r="C37" s="14"/>
      <c r="D37" s="14"/>
      <c r="E37" s="14"/>
      <c r="F37" s="14"/>
      <c r="G37" s="14"/>
      <c r="H37" s="19"/>
      <c r="I37" s="22"/>
      <c r="J37" s="22"/>
      <c r="K37" s="22"/>
      <c r="L37" s="22"/>
      <c r="M37" s="22"/>
      <c r="N37" s="22"/>
      <c r="O37" s="19"/>
      <c r="P37" s="23" t="str">
        <f aca="false">IF(I37&gt;0,K37/I37,"")</f>
        <v/>
      </c>
      <c r="Q37" s="20" t="str">
        <f aca="false">IF(K37&gt;0,H37/K37,"")</f>
        <v/>
      </c>
      <c r="R37" s="20" t="str">
        <f aca="false">IF(I37&gt;0,H37/I37*1000,"")</f>
        <v/>
      </c>
      <c r="S37" s="23" t="str">
        <f aca="false">IF(K37&gt;0,N37/K37,"")</f>
        <v/>
      </c>
      <c r="T37" s="20" t="str">
        <f aca="false">IF(N37&gt;0,H37/N37,"")</f>
        <v/>
      </c>
      <c r="U37" s="18" t="str">
        <f aca="false">IF(H37&gt;0,O37/H37,"")</f>
        <v/>
      </c>
      <c r="V37" s="20" t="str">
        <f aca="false">IF(N37&gt;0,O37/N37,"")</f>
        <v/>
      </c>
      <c r="W37" s="20" t="str">
        <f aca="false">IF(H37&gt;0,O37*الإعدادات!$B$5-H37,"")</f>
        <v/>
      </c>
      <c r="X37" s="23" t="str">
        <f aca="false">IF(AND(I37&gt;0,A37&lt;&gt;""),P37-IFERROR(INDEX(الإعدادات!$B$15:$B$18,MATCH(A37,الإعدادات!$A$15:$A$18,0)),0),"")</f>
        <v/>
      </c>
      <c r="Y37" s="12" t="str">
        <f aca="false">IF(H37="","",IF(H37&lt;الإعدادات!$B$9,"بيانات غير كافية — انتظر",IF(N37=0,"إيقاف أو إعادة بناء (إنفاق بلا مبيعات)",IF(H37/N37&gt;الإعدادات!$B$8*1.5,"خفض الميزانية + اختبار إبداعات جديدة",IF(O37/H37&gt;=الإعدادات!$B$6*1.2,"توسيع الميزانية تدريجياً",IF(O37/H37&gt;=الإعدادات!$B$7,IF(AND(X37&lt;&gt;"",X37&lt;0),"رابحة — حدّث الإبداعات لرفع CTR","رابحة — حافظ وحسّن"),"تحت التعادل — حسّن الصفحة/العرض أو أوقف"))))))</f>
        <v/>
      </c>
    </row>
    <row r="38" customFormat="false" ht="15" hidden="false" customHeight="false" outlineLevel="0" collapsed="false">
      <c r="A38" s="14"/>
      <c r="B38" s="14"/>
      <c r="C38" s="14"/>
      <c r="D38" s="14"/>
      <c r="E38" s="14"/>
      <c r="F38" s="14"/>
      <c r="G38" s="14"/>
      <c r="H38" s="19"/>
      <c r="I38" s="22"/>
      <c r="J38" s="22"/>
      <c r="K38" s="22"/>
      <c r="L38" s="22"/>
      <c r="M38" s="22"/>
      <c r="N38" s="22"/>
      <c r="O38" s="19"/>
      <c r="P38" s="23" t="str">
        <f aca="false">IF(I38&gt;0,K38/I38,"")</f>
        <v/>
      </c>
      <c r="Q38" s="20" t="str">
        <f aca="false">IF(K38&gt;0,H38/K38,"")</f>
        <v/>
      </c>
      <c r="R38" s="20" t="str">
        <f aca="false">IF(I38&gt;0,H38/I38*1000,"")</f>
        <v/>
      </c>
      <c r="S38" s="23" t="str">
        <f aca="false">IF(K38&gt;0,N38/K38,"")</f>
        <v/>
      </c>
      <c r="T38" s="20" t="str">
        <f aca="false">IF(N38&gt;0,H38/N38,"")</f>
        <v/>
      </c>
      <c r="U38" s="18" t="str">
        <f aca="false">IF(H38&gt;0,O38/H38,"")</f>
        <v/>
      </c>
      <c r="V38" s="20" t="str">
        <f aca="false">IF(N38&gt;0,O38/N38,"")</f>
        <v/>
      </c>
      <c r="W38" s="20" t="str">
        <f aca="false">IF(H38&gt;0,O38*الإعدادات!$B$5-H38,"")</f>
        <v/>
      </c>
      <c r="X38" s="23" t="str">
        <f aca="false">IF(AND(I38&gt;0,A38&lt;&gt;""),P38-IFERROR(INDEX(الإعدادات!$B$15:$B$18,MATCH(A38,الإعدادات!$A$15:$A$18,0)),0),"")</f>
        <v/>
      </c>
      <c r="Y38" s="12" t="str">
        <f aca="false">IF(H38="","",IF(H38&lt;الإعدادات!$B$9,"بيانات غير كافية — انتظر",IF(N38=0,"إيقاف أو إعادة بناء (إنفاق بلا مبيعات)",IF(H38/N38&gt;الإعدادات!$B$8*1.5,"خفض الميزانية + اختبار إبداعات جديدة",IF(O38/H38&gt;=الإعدادات!$B$6*1.2,"توسيع الميزانية تدريجياً",IF(O38/H38&gt;=الإعدادات!$B$7,IF(AND(X38&lt;&gt;"",X38&lt;0),"رابحة — حدّث الإبداعات لرفع CTR","رابحة — حافظ وحسّن"),"تحت التعادل — حسّن الصفحة/العرض أو أوقف"))))))</f>
        <v/>
      </c>
    </row>
    <row r="39" customFormat="false" ht="15" hidden="false" customHeight="false" outlineLevel="0" collapsed="false">
      <c r="A39" s="14"/>
      <c r="B39" s="14"/>
      <c r="C39" s="14"/>
      <c r="D39" s="14"/>
      <c r="E39" s="14"/>
      <c r="F39" s="14"/>
      <c r="G39" s="14"/>
      <c r="H39" s="19"/>
      <c r="I39" s="22"/>
      <c r="J39" s="22"/>
      <c r="K39" s="22"/>
      <c r="L39" s="22"/>
      <c r="M39" s="22"/>
      <c r="N39" s="22"/>
      <c r="O39" s="19"/>
      <c r="P39" s="23" t="str">
        <f aca="false">IF(I39&gt;0,K39/I39,"")</f>
        <v/>
      </c>
      <c r="Q39" s="20" t="str">
        <f aca="false">IF(K39&gt;0,H39/K39,"")</f>
        <v/>
      </c>
      <c r="R39" s="20" t="str">
        <f aca="false">IF(I39&gt;0,H39/I39*1000,"")</f>
        <v/>
      </c>
      <c r="S39" s="23" t="str">
        <f aca="false">IF(K39&gt;0,N39/K39,"")</f>
        <v/>
      </c>
      <c r="T39" s="20" t="str">
        <f aca="false">IF(N39&gt;0,H39/N39,"")</f>
        <v/>
      </c>
      <c r="U39" s="18" t="str">
        <f aca="false">IF(H39&gt;0,O39/H39,"")</f>
        <v/>
      </c>
      <c r="V39" s="20" t="str">
        <f aca="false">IF(N39&gt;0,O39/N39,"")</f>
        <v/>
      </c>
      <c r="W39" s="20" t="str">
        <f aca="false">IF(H39&gt;0,O39*الإعدادات!$B$5-H39,"")</f>
        <v/>
      </c>
      <c r="X39" s="23" t="str">
        <f aca="false">IF(AND(I39&gt;0,A39&lt;&gt;""),P39-IFERROR(INDEX(الإعدادات!$B$15:$B$18,MATCH(A39,الإعدادات!$A$15:$A$18,0)),0),"")</f>
        <v/>
      </c>
      <c r="Y39" s="12" t="str">
        <f aca="false">IF(H39="","",IF(H39&lt;الإعدادات!$B$9,"بيانات غير كافية — انتظر",IF(N39=0,"إيقاف أو إعادة بناء (إنفاق بلا مبيعات)",IF(H39/N39&gt;الإعدادات!$B$8*1.5,"خفض الميزانية + اختبار إبداعات جديدة",IF(O39/H39&gt;=الإعدادات!$B$6*1.2,"توسيع الميزانية تدريجياً",IF(O39/H39&gt;=الإعدادات!$B$7,IF(AND(X39&lt;&gt;"",X39&lt;0),"رابحة — حدّث الإبداعات لرفع CTR","رابحة — حافظ وحسّن"),"تحت التعادل — حسّن الصفحة/العرض أو أوقف"))))))</f>
        <v/>
      </c>
    </row>
    <row r="40" customFormat="false" ht="15" hidden="false" customHeight="false" outlineLevel="0" collapsed="false">
      <c r="A40" s="14"/>
      <c r="B40" s="14"/>
      <c r="C40" s="14"/>
      <c r="D40" s="14"/>
      <c r="E40" s="14"/>
      <c r="F40" s="14"/>
      <c r="G40" s="14"/>
      <c r="H40" s="19"/>
      <c r="I40" s="22"/>
      <c r="J40" s="22"/>
      <c r="K40" s="22"/>
      <c r="L40" s="22"/>
      <c r="M40" s="22"/>
      <c r="N40" s="22"/>
      <c r="O40" s="19"/>
      <c r="P40" s="23" t="str">
        <f aca="false">IF(I40&gt;0,K40/I40,"")</f>
        <v/>
      </c>
      <c r="Q40" s="20" t="str">
        <f aca="false">IF(K40&gt;0,H40/K40,"")</f>
        <v/>
      </c>
      <c r="R40" s="20" t="str">
        <f aca="false">IF(I40&gt;0,H40/I40*1000,"")</f>
        <v/>
      </c>
      <c r="S40" s="23" t="str">
        <f aca="false">IF(K40&gt;0,N40/K40,"")</f>
        <v/>
      </c>
      <c r="T40" s="20" t="str">
        <f aca="false">IF(N40&gt;0,H40/N40,"")</f>
        <v/>
      </c>
      <c r="U40" s="18" t="str">
        <f aca="false">IF(H40&gt;0,O40/H40,"")</f>
        <v/>
      </c>
      <c r="V40" s="20" t="str">
        <f aca="false">IF(N40&gt;0,O40/N40,"")</f>
        <v/>
      </c>
      <c r="W40" s="20" t="str">
        <f aca="false">IF(H40&gt;0,O40*الإعدادات!$B$5-H40,"")</f>
        <v/>
      </c>
      <c r="X40" s="23" t="str">
        <f aca="false">IF(AND(I40&gt;0,A40&lt;&gt;""),P40-IFERROR(INDEX(الإعدادات!$B$15:$B$18,MATCH(A40,الإعدادات!$A$15:$A$18,0)),0),"")</f>
        <v/>
      </c>
      <c r="Y40" s="12" t="str">
        <f aca="false">IF(H40="","",IF(H40&lt;الإعدادات!$B$9,"بيانات غير كافية — انتظر",IF(N40=0,"إيقاف أو إعادة بناء (إنفاق بلا مبيعات)",IF(H40/N40&gt;الإعدادات!$B$8*1.5,"خفض الميزانية + اختبار إبداعات جديدة",IF(O40/H40&gt;=الإعدادات!$B$6*1.2,"توسيع الميزانية تدريجياً",IF(O40/H40&gt;=الإعدادات!$B$7,IF(AND(X40&lt;&gt;"",X40&lt;0),"رابحة — حدّث الإبداعات لرفع CTR","رابحة — حافظ وحسّن"),"تحت التعادل — حسّن الصفحة/العرض أو أوقف"))))))</f>
        <v/>
      </c>
    </row>
    <row r="41" customFormat="false" ht="15" hidden="false" customHeight="false" outlineLevel="0" collapsed="false">
      <c r="A41" s="14"/>
      <c r="B41" s="14"/>
      <c r="C41" s="14"/>
      <c r="D41" s="14"/>
      <c r="E41" s="14"/>
      <c r="F41" s="14"/>
      <c r="G41" s="14"/>
      <c r="H41" s="19"/>
      <c r="I41" s="22"/>
      <c r="J41" s="22"/>
      <c r="K41" s="22"/>
      <c r="L41" s="22"/>
      <c r="M41" s="22"/>
      <c r="N41" s="22"/>
      <c r="O41" s="19"/>
      <c r="P41" s="23" t="str">
        <f aca="false">IF(I41&gt;0,K41/I41,"")</f>
        <v/>
      </c>
      <c r="Q41" s="20" t="str">
        <f aca="false">IF(K41&gt;0,H41/K41,"")</f>
        <v/>
      </c>
      <c r="R41" s="20" t="str">
        <f aca="false">IF(I41&gt;0,H41/I41*1000,"")</f>
        <v/>
      </c>
      <c r="S41" s="23" t="str">
        <f aca="false">IF(K41&gt;0,N41/K41,"")</f>
        <v/>
      </c>
      <c r="T41" s="20" t="str">
        <f aca="false">IF(N41&gt;0,H41/N41,"")</f>
        <v/>
      </c>
      <c r="U41" s="18" t="str">
        <f aca="false">IF(H41&gt;0,O41/H41,"")</f>
        <v/>
      </c>
      <c r="V41" s="20" t="str">
        <f aca="false">IF(N41&gt;0,O41/N41,"")</f>
        <v/>
      </c>
      <c r="W41" s="20" t="str">
        <f aca="false">IF(H41&gt;0,O41*الإعدادات!$B$5-H41,"")</f>
        <v/>
      </c>
      <c r="X41" s="23" t="str">
        <f aca="false">IF(AND(I41&gt;0,A41&lt;&gt;""),P41-IFERROR(INDEX(الإعدادات!$B$15:$B$18,MATCH(A41,الإعدادات!$A$15:$A$18,0)),0),"")</f>
        <v/>
      </c>
      <c r="Y41" s="12" t="str">
        <f aca="false">IF(H41="","",IF(H41&lt;الإعدادات!$B$9,"بيانات غير كافية — انتظر",IF(N41=0,"إيقاف أو إعادة بناء (إنفاق بلا مبيعات)",IF(H41/N41&gt;الإعدادات!$B$8*1.5,"خفض الميزانية + اختبار إبداعات جديدة",IF(O41/H41&gt;=الإعدادات!$B$6*1.2,"توسيع الميزانية تدريجياً",IF(O41/H41&gt;=الإعدادات!$B$7,IF(AND(X41&lt;&gt;"",X41&lt;0),"رابحة — حدّث الإبداعات لرفع CTR","رابحة — حافظ وحسّن"),"تحت التعادل — حسّن الصفحة/العرض أو أوقف"))))))</f>
        <v/>
      </c>
    </row>
    <row r="42" customFormat="false" ht="15" hidden="false" customHeight="false" outlineLevel="0" collapsed="false">
      <c r="A42" s="14"/>
      <c r="B42" s="14"/>
      <c r="C42" s="14"/>
      <c r="D42" s="14"/>
      <c r="E42" s="14"/>
      <c r="F42" s="14"/>
      <c r="G42" s="14"/>
      <c r="H42" s="19"/>
      <c r="I42" s="22"/>
      <c r="J42" s="22"/>
      <c r="K42" s="22"/>
      <c r="L42" s="22"/>
      <c r="M42" s="22"/>
      <c r="N42" s="22"/>
      <c r="O42" s="19"/>
      <c r="P42" s="23" t="str">
        <f aca="false">IF(I42&gt;0,K42/I42,"")</f>
        <v/>
      </c>
      <c r="Q42" s="20" t="str">
        <f aca="false">IF(K42&gt;0,H42/K42,"")</f>
        <v/>
      </c>
      <c r="R42" s="20" t="str">
        <f aca="false">IF(I42&gt;0,H42/I42*1000,"")</f>
        <v/>
      </c>
      <c r="S42" s="23" t="str">
        <f aca="false">IF(K42&gt;0,N42/K42,"")</f>
        <v/>
      </c>
      <c r="T42" s="20" t="str">
        <f aca="false">IF(N42&gt;0,H42/N42,"")</f>
        <v/>
      </c>
      <c r="U42" s="18" t="str">
        <f aca="false">IF(H42&gt;0,O42/H42,"")</f>
        <v/>
      </c>
      <c r="V42" s="20" t="str">
        <f aca="false">IF(N42&gt;0,O42/N42,"")</f>
        <v/>
      </c>
      <c r="W42" s="20" t="str">
        <f aca="false">IF(H42&gt;0,O42*الإعدادات!$B$5-H42,"")</f>
        <v/>
      </c>
      <c r="X42" s="23" t="str">
        <f aca="false">IF(AND(I42&gt;0,A42&lt;&gt;""),P42-IFERROR(INDEX(الإعدادات!$B$15:$B$18,MATCH(A42,الإعدادات!$A$15:$A$18,0)),0),"")</f>
        <v/>
      </c>
      <c r="Y42" s="12" t="str">
        <f aca="false">IF(H42="","",IF(H42&lt;الإعدادات!$B$9,"بيانات غير كافية — انتظر",IF(N42=0,"إيقاف أو إعادة بناء (إنفاق بلا مبيعات)",IF(H42/N42&gt;الإعدادات!$B$8*1.5,"خفض الميزانية + اختبار إبداعات جديدة",IF(O42/H42&gt;=الإعدادات!$B$6*1.2,"توسيع الميزانية تدريجياً",IF(O42/H42&gt;=الإعدادات!$B$7,IF(AND(X42&lt;&gt;"",X42&lt;0),"رابحة — حدّث الإبداعات لرفع CTR","رابحة — حافظ وحسّن"),"تحت التعادل — حسّن الصفحة/العرض أو أوقف"))))))</f>
        <v/>
      </c>
    </row>
    <row r="43" customFormat="false" ht="15" hidden="false" customHeight="false" outlineLevel="0" collapsed="false">
      <c r="A43" s="14"/>
      <c r="B43" s="14"/>
      <c r="C43" s="14"/>
      <c r="D43" s="14"/>
      <c r="E43" s="14"/>
      <c r="F43" s="14"/>
      <c r="G43" s="14"/>
      <c r="H43" s="19"/>
      <c r="I43" s="22"/>
      <c r="J43" s="22"/>
      <c r="K43" s="22"/>
      <c r="L43" s="22"/>
      <c r="M43" s="22"/>
      <c r="N43" s="22"/>
      <c r="O43" s="19"/>
      <c r="P43" s="23" t="str">
        <f aca="false">IF(I43&gt;0,K43/I43,"")</f>
        <v/>
      </c>
      <c r="Q43" s="20" t="str">
        <f aca="false">IF(K43&gt;0,H43/K43,"")</f>
        <v/>
      </c>
      <c r="R43" s="20" t="str">
        <f aca="false">IF(I43&gt;0,H43/I43*1000,"")</f>
        <v/>
      </c>
      <c r="S43" s="23" t="str">
        <f aca="false">IF(K43&gt;0,N43/K43,"")</f>
        <v/>
      </c>
      <c r="T43" s="20" t="str">
        <f aca="false">IF(N43&gt;0,H43/N43,"")</f>
        <v/>
      </c>
      <c r="U43" s="18" t="str">
        <f aca="false">IF(H43&gt;0,O43/H43,"")</f>
        <v/>
      </c>
      <c r="V43" s="20" t="str">
        <f aca="false">IF(N43&gt;0,O43/N43,"")</f>
        <v/>
      </c>
      <c r="W43" s="20" t="str">
        <f aca="false">IF(H43&gt;0,O43*الإعدادات!$B$5-H43,"")</f>
        <v/>
      </c>
      <c r="X43" s="23" t="str">
        <f aca="false">IF(AND(I43&gt;0,A43&lt;&gt;""),P43-IFERROR(INDEX(الإعدادات!$B$15:$B$18,MATCH(A43,الإعدادات!$A$15:$A$18,0)),0),"")</f>
        <v/>
      </c>
      <c r="Y43" s="12" t="str">
        <f aca="false">IF(H43="","",IF(H43&lt;الإعدادات!$B$9,"بيانات غير كافية — انتظر",IF(N43=0,"إيقاف أو إعادة بناء (إنفاق بلا مبيعات)",IF(H43/N43&gt;الإعدادات!$B$8*1.5,"خفض الميزانية + اختبار إبداعات جديدة",IF(O43/H43&gt;=الإعدادات!$B$6*1.2,"توسيع الميزانية تدريجياً",IF(O43/H43&gt;=الإعدادات!$B$7,IF(AND(X43&lt;&gt;"",X43&lt;0),"رابحة — حدّث الإبداعات لرفع CTR","رابحة — حافظ وحسّن"),"تحت التعادل — حسّن الصفحة/العرض أو أوقف"))))))</f>
        <v/>
      </c>
    </row>
    <row r="44" customFormat="false" ht="15" hidden="false" customHeight="false" outlineLevel="0" collapsed="false">
      <c r="A44" s="14"/>
      <c r="B44" s="14"/>
      <c r="C44" s="14"/>
      <c r="D44" s="14"/>
      <c r="E44" s="14"/>
      <c r="F44" s="14"/>
      <c r="G44" s="14"/>
      <c r="H44" s="19"/>
      <c r="I44" s="22"/>
      <c r="J44" s="22"/>
      <c r="K44" s="22"/>
      <c r="L44" s="22"/>
      <c r="M44" s="22"/>
      <c r="N44" s="22"/>
      <c r="O44" s="19"/>
      <c r="P44" s="23" t="str">
        <f aca="false">IF(I44&gt;0,K44/I44,"")</f>
        <v/>
      </c>
      <c r="Q44" s="20" t="str">
        <f aca="false">IF(K44&gt;0,H44/K44,"")</f>
        <v/>
      </c>
      <c r="R44" s="20" t="str">
        <f aca="false">IF(I44&gt;0,H44/I44*1000,"")</f>
        <v/>
      </c>
      <c r="S44" s="23" t="str">
        <f aca="false">IF(K44&gt;0,N44/K44,"")</f>
        <v/>
      </c>
      <c r="T44" s="20" t="str">
        <f aca="false">IF(N44&gt;0,H44/N44,"")</f>
        <v/>
      </c>
      <c r="U44" s="18" t="str">
        <f aca="false">IF(H44&gt;0,O44/H44,"")</f>
        <v/>
      </c>
      <c r="V44" s="20" t="str">
        <f aca="false">IF(N44&gt;0,O44/N44,"")</f>
        <v/>
      </c>
      <c r="W44" s="20" t="str">
        <f aca="false">IF(H44&gt;0,O44*الإعدادات!$B$5-H44,"")</f>
        <v/>
      </c>
      <c r="X44" s="23" t="str">
        <f aca="false">IF(AND(I44&gt;0,A44&lt;&gt;""),P44-IFERROR(INDEX(الإعدادات!$B$15:$B$18,MATCH(A44,الإعدادات!$A$15:$A$18,0)),0),"")</f>
        <v/>
      </c>
      <c r="Y44" s="12" t="str">
        <f aca="false">IF(H44="","",IF(H44&lt;الإعدادات!$B$9,"بيانات غير كافية — انتظر",IF(N44=0,"إيقاف أو إعادة بناء (إنفاق بلا مبيعات)",IF(H44/N44&gt;الإعدادات!$B$8*1.5,"خفض الميزانية + اختبار إبداعات جديدة",IF(O44/H44&gt;=الإعدادات!$B$6*1.2,"توسيع الميزانية تدريجياً",IF(O44/H44&gt;=الإعدادات!$B$7,IF(AND(X44&lt;&gt;"",X44&lt;0),"رابحة — حدّث الإبداعات لرفع CTR","رابحة — حافظ وحسّن"),"تحت التعادل — حسّن الصفحة/العرض أو أوقف"))))))</f>
        <v/>
      </c>
    </row>
    <row r="45" customFormat="false" ht="15" hidden="false" customHeight="false" outlineLevel="0" collapsed="false">
      <c r="A45" s="14"/>
      <c r="B45" s="14"/>
      <c r="C45" s="14"/>
      <c r="D45" s="14"/>
      <c r="E45" s="14"/>
      <c r="F45" s="14"/>
      <c r="G45" s="14"/>
      <c r="H45" s="19"/>
      <c r="I45" s="22"/>
      <c r="J45" s="22"/>
      <c r="K45" s="22"/>
      <c r="L45" s="22"/>
      <c r="M45" s="22"/>
      <c r="N45" s="22"/>
      <c r="O45" s="19"/>
      <c r="P45" s="23" t="str">
        <f aca="false">IF(I45&gt;0,K45/I45,"")</f>
        <v/>
      </c>
      <c r="Q45" s="20" t="str">
        <f aca="false">IF(K45&gt;0,H45/K45,"")</f>
        <v/>
      </c>
      <c r="R45" s="20" t="str">
        <f aca="false">IF(I45&gt;0,H45/I45*1000,"")</f>
        <v/>
      </c>
      <c r="S45" s="23" t="str">
        <f aca="false">IF(K45&gt;0,N45/K45,"")</f>
        <v/>
      </c>
      <c r="T45" s="20" t="str">
        <f aca="false">IF(N45&gt;0,H45/N45,"")</f>
        <v/>
      </c>
      <c r="U45" s="18" t="str">
        <f aca="false">IF(H45&gt;0,O45/H45,"")</f>
        <v/>
      </c>
      <c r="V45" s="20" t="str">
        <f aca="false">IF(N45&gt;0,O45/N45,"")</f>
        <v/>
      </c>
      <c r="W45" s="20" t="str">
        <f aca="false">IF(H45&gt;0,O45*الإعدادات!$B$5-H45,"")</f>
        <v/>
      </c>
      <c r="X45" s="23" t="str">
        <f aca="false">IF(AND(I45&gt;0,A45&lt;&gt;""),P45-IFERROR(INDEX(الإعدادات!$B$15:$B$18,MATCH(A45,الإعدادات!$A$15:$A$18,0)),0),"")</f>
        <v/>
      </c>
      <c r="Y45" s="12" t="str">
        <f aca="false">IF(H45="","",IF(H45&lt;الإعدادات!$B$9,"بيانات غير كافية — انتظر",IF(N45=0,"إيقاف أو إعادة بناء (إنفاق بلا مبيعات)",IF(H45/N45&gt;الإعدادات!$B$8*1.5,"خفض الميزانية + اختبار إبداعات جديدة",IF(O45/H45&gt;=الإعدادات!$B$6*1.2,"توسيع الميزانية تدريجياً",IF(O45/H45&gt;=الإعدادات!$B$7,IF(AND(X45&lt;&gt;"",X45&lt;0),"رابحة — حدّث الإبداعات لرفع CTR","رابحة — حافظ وحسّن"),"تحت التعادل — حسّن الصفحة/العرض أو أوقف"))))))</f>
        <v/>
      </c>
    </row>
    <row r="46" customFormat="false" ht="15" hidden="false" customHeight="false" outlineLevel="0" collapsed="false">
      <c r="A46" s="14"/>
      <c r="B46" s="14"/>
      <c r="C46" s="14"/>
      <c r="D46" s="14"/>
      <c r="E46" s="14"/>
      <c r="F46" s="14"/>
      <c r="G46" s="14"/>
      <c r="H46" s="19"/>
      <c r="I46" s="22"/>
      <c r="J46" s="22"/>
      <c r="K46" s="22"/>
      <c r="L46" s="22"/>
      <c r="M46" s="22"/>
      <c r="N46" s="22"/>
      <c r="O46" s="19"/>
      <c r="P46" s="23" t="str">
        <f aca="false">IF(I46&gt;0,K46/I46,"")</f>
        <v/>
      </c>
      <c r="Q46" s="20" t="str">
        <f aca="false">IF(K46&gt;0,H46/K46,"")</f>
        <v/>
      </c>
      <c r="R46" s="20" t="str">
        <f aca="false">IF(I46&gt;0,H46/I46*1000,"")</f>
        <v/>
      </c>
      <c r="S46" s="23" t="str">
        <f aca="false">IF(K46&gt;0,N46/K46,"")</f>
        <v/>
      </c>
      <c r="T46" s="20" t="str">
        <f aca="false">IF(N46&gt;0,H46/N46,"")</f>
        <v/>
      </c>
      <c r="U46" s="18" t="str">
        <f aca="false">IF(H46&gt;0,O46/H46,"")</f>
        <v/>
      </c>
      <c r="V46" s="20" t="str">
        <f aca="false">IF(N46&gt;0,O46/N46,"")</f>
        <v/>
      </c>
      <c r="W46" s="20" t="str">
        <f aca="false">IF(H46&gt;0,O46*الإعدادات!$B$5-H46,"")</f>
        <v/>
      </c>
      <c r="X46" s="23" t="str">
        <f aca="false">IF(AND(I46&gt;0,A46&lt;&gt;""),P46-IFERROR(INDEX(الإعدادات!$B$15:$B$18,MATCH(A46,الإعدادات!$A$15:$A$18,0)),0),"")</f>
        <v/>
      </c>
      <c r="Y46" s="12" t="str">
        <f aca="false">IF(H46="","",IF(H46&lt;الإعدادات!$B$9,"بيانات غير كافية — انتظر",IF(N46=0,"إيقاف أو إعادة بناء (إنفاق بلا مبيعات)",IF(H46/N46&gt;الإعدادات!$B$8*1.5,"خفض الميزانية + اختبار إبداعات جديدة",IF(O46/H46&gt;=الإعدادات!$B$6*1.2,"توسيع الميزانية تدريجياً",IF(O46/H46&gt;=الإعدادات!$B$7,IF(AND(X46&lt;&gt;"",X46&lt;0),"رابحة — حدّث الإبداعات لرفع CTR","رابحة — حافظ وحسّن"),"تحت التعادل — حسّن الصفحة/العرض أو أوقف"))))))</f>
        <v/>
      </c>
    </row>
    <row r="47" customFormat="false" ht="15" hidden="false" customHeight="false" outlineLevel="0" collapsed="false">
      <c r="A47" s="14"/>
      <c r="B47" s="14"/>
      <c r="C47" s="14"/>
      <c r="D47" s="14"/>
      <c r="E47" s="14"/>
      <c r="F47" s="14"/>
      <c r="G47" s="14"/>
      <c r="H47" s="19"/>
      <c r="I47" s="22"/>
      <c r="J47" s="22"/>
      <c r="K47" s="22"/>
      <c r="L47" s="22"/>
      <c r="M47" s="22"/>
      <c r="N47" s="22"/>
      <c r="O47" s="19"/>
      <c r="P47" s="23" t="str">
        <f aca="false">IF(I47&gt;0,K47/I47,"")</f>
        <v/>
      </c>
      <c r="Q47" s="20" t="str">
        <f aca="false">IF(K47&gt;0,H47/K47,"")</f>
        <v/>
      </c>
      <c r="R47" s="20" t="str">
        <f aca="false">IF(I47&gt;0,H47/I47*1000,"")</f>
        <v/>
      </c>
      <c r="S47" s="23" t="str">
        <f aca="false">IF(K47&gt;0,N47/K47,"")</f>
        <v/>
      </c>
      <c r="T47" s="20" t="str">
        <f aca="false">IF(N47&gt;0,H47/N47,"")</f>
        <v/>
      </c>
      <c r="U47" s="18" t="str">
        <f aca="false">IF(H47&gt;0,O47/H47,"")</f>
        <v/>
      </c>
      <c r="V47" s="20" t="str">
        <f aca="false">IF(N47&gt;0,O47/N47,"")</f>
        <v/>
      </c>
      <c r="W47" s="20" t="str">
        <f aca="false">IF(H47&gt;0,O47*الإعدادات!$B$5-H47,"")</f>
        <v/>
      </c>
      <c r="X47" s="23" t="str">
        <f aca="false">IF(AND(I47&gt;0,A47&lt;&gt;""),P47-IFERROR(INDEX(الإعدادات!$B$15:$B$18,MATCH(A47,الإعدادات!$A$15:$A$18,0)),0),"")</f>
        <v/>
      </c>
      <c r="Y47" s="12" t="str">
        <f aca="false">IF(H47="","",IF(H47&lt;الإعدادات!$B$9,"بيانات غير كافية — انتظر",IF(N47=0,"إيقاف أو إعادة بناء (إنفاق بلا مبيعات)",IF(H47/N47&gt;الإعدادات!$B$8*1.5,"خفض الميزانية + اختبار إبداعات جديدة",IF(O47/H47&gt;=الإعدادات!$B$6*1.2,"توسيع الميزانية تدريجياً",IF(O47/H47&gt;=الإعدادات!$B$7,IF(AND(X47&lt;&gt;"",X47&lt;0),"رابحة — حدّث الإبداعات لرفع CTR","رابحة — حافظ وحسّن"),"تحت التعادل — حسّن الصفحة/العرض أو أوقف"))))))</f>
        <v/>
      </c>
    </row>
    <row r="48" customFormat="false" ht="15" hidden="false" customHeight="false" outlineLevel="0" collapsed="false">
      <c r="A48" s="14"/>
      <c r="B48" s="14"/>
      <c r="C48" s="14"/>
      <c r="D48" s="14"/>
      <c r="E48" s="14"/>
      <c r="F48" s="14"/>
      <c r="G48" s="14"/>
      <c r="H48" s="19"/>
      <c r="I48" s="22"/>
      <c r="J48" s="22"/>
      <c r="K48" s="22"/>
      <c r="L48" s="22"/>
      <c r="M48" s="22"/>
      <c r="N48" s="22"/>
      <c r="O48" s="19"/>
      <c r="P48" s="23" t="str">
        <f aca="false">IF(I48&gt;0,K48/I48,"")</f>
        <v/>
      </c>
      <c r="Q48" s="20" t="str">
        <f aca="false">IF(K48&gt;0,H48/K48,"")</f>
        <v/>
      </c>
      <c r="R48" s="20" t="str">
        <f aca="false">IF(I48&gt;0,H48/I48*1000,"")</f>
        <v/>
      </c>
      <c r="S48" s="23" t="str">
        <f aca="false">IF(K48&gt;0,N48/K48,"")</f>
        <v/>
      </c>
      <c r="T48" s="20" t="str">
        <f aca="false">IF(N48&gt;0,H48/N48,"")</f>
        <v/>
      </c>
      <c r="U48" s="18" t="str">
        <f aca="false">IF(H48&gt;0,O48/H48,"")</f>
        <v/>
      </c>
      <c r="V48" s="20" t="str">
        <f aca="false">IF(N48&gt;0,O48/N48,"")</f>
        <v/>
      </c>
      <c r="W48" s="20" t="str">
        <f aca="false">IF(H48&gt;0,O48*الإعدادات!$B$5-H48,"")</f>
        <v/>
      </c>
      <c r="X48" s="23" t="str">
        <f aca="false">IF(AND(I48&gt;0,A48&lt;&gt;""),P48-IFERROR(INDEX(الإعدادات!$B$15:$B$18,MATCH(A48,الإعدادات!$A$15:$A$18,0)),0),"")</f>
        <v/>
      </c>
      <c r="Y48" s="12" t="str">
        <f aca="false">IF(H48="","",IF(H48&lt;الإعدادات!$B$9,"بيانات غير كافية — انتظر",IF(N48=0,"إيقاف أو إعادة بناء (إنفاق بلا مبيعات)",IF(H48/N48&gt;الإعدادات!$B$8*1.5,"خفض الميزانية + اختبار إبداعات جديدة",IF(O48/H48&gt;=الإعدادات!$B$6*1.2,"توسيع الميزانية تدريجياً",IF(O48/H48&gt;=الإعدادات!$B$7,IF(AND(X48&lt;&gt;"",X48&lt;0),"رابحة — حدّث الإبداعات لرفع CTR","رابحة — حافظ وحسّن"),"تحت التعادل — حسّن الصفحة/العرض أو أوقف"))))))</f>
        <v/>
      </c>
    </row>
    <row r="49" customFormat="false" ht="15" hidden="false" customHeight="false" outlineLevel="0" collapsed="false">
      <c r="A49" s="14"/>
      <c r="B49" s="14"/>
      <c r="C49" s="14"/>
      <c r="D49" s="14"/>
      <c r="E49" s="14"/>
      <c r="F49" s="14"/>
      <c r="G49" s="14"/>
      <c r="H49" s="19"/>
      <c r="I49" s="22"/>
      <c r="J49" s="22"/>
      <c r="K49" s="22"/>
      <c r="L49" s="22"/>
      <c r="M49" s="22"/>
      <c r="N49" s="22"/>
      <c r="O49" s="19"/>
      <c r="P49" s="23" t="str">
        <f aca="false">IF(I49&gt;0,K49/I49,"")</f>
        <v/>
      </c>
      <c r="Q49" s="20" t="str">
        <f aca="false">IF(K49&gt;0,H49/K49,"")</f>
        <v/>
      </c>
      <c r="R49" s="20" t="str">
        <f aca="false">IF(I49&gt;0,H49/I49*1000,"")</f>
        <v/>
      </c>
      <c r="S49" s="23" t="str">
        <f aca="false">IF(K49&gt;0,N49/K49,"")</f>
        <v/>
      </c>
      <c r="T49" s="20" t="str">
        <f aca="false">IF(N49&gt;0,H49/N49,"")</f>
        <v/>
      </c>
      <c r="U49" s="18" t="str">
        <f aca="false">IF(H49&gt;0,O49/H49,"")</f>
        <v/>
      </c>
      <c r="V49" s="20" t="str">
        <f aca="false">IF(N49&gt;0,O49/N49,"")</f>
        <v/>
      </c>
      <c r="W49" s="20" t="str">
        <f aca="false">IF(H49&gt;0,O49*الإعدادات!$B$5-H49,"")</f>
        <v/>
      </c>
      <c r="X49" s="23" t="str">
        <f aca="false">IF(AND(I49&gt;0,A49&lt;&gt;""),P49-IFERROR(INDEX(الإعدادات!$B$15:$B$18,MATCH(A49,الإعدادات!$A$15:$A$18,0)),0),"")</f>
        <v/>
      </c>
      <c r="Y49" s="12" t="str">
        <f aca="false">IF(H49="","",IF(H49&lt;الإعدادات!$B$9,"بيانات غير كافية — انتظر",IF(N49=0,"إيقاف أو إعادة بناء (إنفاق بلا مبيعات)",IF(H49/N49&gt;الإعدادات!$B$8*1.5,"خفض الميزانية + اختبار إبداعات جديدة",IF(O49/H49&gt;=الإعدادات!$B$6*1.2,"توسيع الميزانية تدريجياً",IF(O49/H49&gt;=الإعدادات!$B$7,IF(AND(X49&lt;&gt;"",X49&lt;0),"رابحة — حدّث الإبداعات لرفع CTR","رابحة — حافظ وحسّن"),"تحت التعادل — حسّن الصفحة/العرض أو أوقف"))))))</f>
        <v/>
      </c>
    </row>
    <row r="50" customFormat="false" ht="15" hidden="false" customHeight="false" outlineLevel="0" collapsed="false">
      <c r="A50" s="14"/>
      <c r="B50" s="14"/>
      <c r="C50" s="14"/>
      <c r="D50" s="14"/>
      <c r="E50" s="14"/>
      <c r="F50" s="14"/>
      <c r="G50" s="14"/>
      <c r="H50" s="19"/>
      <c r="I50" s="22"/>
      <c r="J50" s="22"/>
      <c r="K50" s="22"/>
      <c r="L50" s="22"/>
      <c r="M50" s="22"/>
      <c r="N50" s="22"/>
      <c r="O50" s="19"/>
      <c r="P50" s="23" t="str">
        <f aca="false">IF(I50&gt;0,K50/I50,"")</f>
        <v/>
      </c>
      <c r="Q50" s="20" t="str">
        <f aca="false">IF(K50&gt;0,H50/K50,"")</f>
        <v/>
      </c>
      <c r="R50" s="20" t="str">
        <f aca="false">IF(I50&gt;0,H50/I50*1000,"")</f>
        <v/>
      </c>
      <c r="S50" s="23" t="str">
        <f aca="false">IF(K50&gt;0,N50/K50,"")</f>
        <v/>
      </c>
      <c r="T50" s="20" t="str">
        <f aca="false">IF(N50&gt;0,H50/N50,"")</f>
        <v/>
      </c>
      <c r="U50" s="18" t="str">
        <f aca="false">IF(H50&gt;0,O50/H50,"")</f>
        <v/>
      </c>
      <c r="V50" s="20" t="str">
        <f aca="false">IF(N50&gt;0,O50/N50,"")</f>
        <v/>
      </c>
      <c r="W50" s="20" t="str">
        <f aca="false">IF(H50&gt;0,O50*الإعدادات!$B$5-H50,"")</f>
        <v/>
      </c>
      <c r="X50" s="23" t="str">
        <f aca="false">IF(AND(I50&gt;0,A50&lt;&gt;""),P50-IFERROR(INDEX(الإعدادات!$B$15:$B$18,MATCH(A50,الإعدادات!$A$15:$A$18,0)),0),"")</f>
        <v/>
      </c>
      <c r="Y50" s="12" t="str">
        <f aca="false">IF(H50="","",IF(H50&lt;الإعدادات!$B$9,"بيانات غير كافية — انتظر",IF(N50=0,"إيقاف أو إعادة بناء (إنفاق بلا مبيعات)",IF(H50/N50&gt;الإعدادات!$B$8*1.5,"خفض الميزانية + اختبار إبداعات جديدة",IF(O50/H50&gt;=الإعدادات!$B$6*1.2,"توسيع الميزانية تدريجياً",IF(O50/H50&gt;=الإعدادات!$B$7,IF(AND(X50&lt;&gt;"",X50&lt;0),"رابحة — حدّث الإبداعات لرفع CTR","رابحة — حافظ وحسّن"),"تحت التعادل — حسّن الصفحة/العرض أو أوقف"))))))</f>
        <v/>
      </c>
    </row>
    <row r="51" customFormat="false" ht="15" hidden="false" customHeight="false" outlineLevel="0" collapsed="false">
      <c r="A51" s="14"/>
      <c r="B51" s="14"/>
      <c r="C51" s="14"/>
      <c r="D51" s="14"/>
      <c r="E51" s="14"/>
      <c r="F51" s="14"/>
      <c r="G51" s="14"/>
      <c r="H51" s="19"/>
      <c r="I51" s="22"/>
      <c r="J51" s="22"/>
      <c r="K51" s="22"/>
      <c r="L51" s="22"/>
      <c r="M51" s="22"/>
      <c r="N51" s="22"/>
      <c r="O51" s="19"/>
      <c r="P51" s="23" t="str">
        <f aca="false">IF(I51&gt;0,K51/I51,"")</f>
        <v/>
      </c>
      <c r="Q51" s="20" t="str">
        <f aca="false">IF(K51&gt;0,H51/K51,"")</f>
        <v/>
      </c>
      <c r="R51" s="20" t="str">
        <f aca="false">IF(I51&gt;0,H51/I51*1000,"")</f>
        <v/>
      </c>
      <c r="S51" s="23" t="str">
        <f aca="false">IF(K51&gt;0,N51/K51,"")</f>
        <v/>
      </c>
      <c r="T51" s="20" t="str">
        <f aca="false">IF(N51&gt;0,H51/N51,"")</f>
        <v/>
      </c>
      <c r="U51" s="18" t="str">
        <f aca="false">IF(H51&gt;0,O51/H51,"")</f>
        <v/>
      </c>
      <c r="V51" s="20" t="str">
        <f aca="false">IF(N51&gt;0,O51/N51,"")</f>
        <v/>
      </c>
      <c r="W51" s="20" t="str">
        <f aca="false">IF(H51&gt;0,O51*الإعدادات!$B$5-H51,"")</f>
        <v/>
      </c>
      <c r="X51" s="23" t="str">
        <f aca="false">IF(AND(I51&gt;0,A51&lt;&gt;""),P51-IFERROR(INDEX(الإعدادات!$B$15:$B$18,MATCH(A51,الإعدادات!$A$15:$A$18,0)),0),"")</f>
        <v/>
      </c>
      <c r="Y51" s="12" t="str">
        <f aca="false">IF(H51="","",IF(H51&lt;الإعدادات!$B$9,"بيانات غير كافية — انتظر",IF(N51=0,"إيقاف أو إعادة بناء (إنفاق بلا مبيعات)",IF(H51/N51&gt;الإعدادات!$B$8*1.5,"خفض الميزانية + اختبار إبداعات جديدة",IF(O51/H51&gt;=الإعدادات!$B$6*1.2,"توسيع الميزانية تدريجياً",IF(O51/H51&gt;=الإعدادات!$B$7,IF(AND(X51&lt;&gt;"",X51&lt;0),"رابحة — حدّث الإبداعات لرفع CTR","رابحة — حافظ وحسّن"),"تحت التعادل — حسّن الصفحة/العرض أو أوقف"))))))</f>
        <v/>
      </c>
    </row>
    <row r="52" customFormat="false" ht="15" hidden="false" customHeight="false" outlineLevel="0" collapsed="false">
      <c r="A52" s="14"/>
      <c r="B52" s="14"/>
      <c r="C52" s="14"/>
      <c r="D52" s="14"/>
      <c r="E52" s="14"/>
      <c r="F52" s="14"/>
      <c r="G52" s="14"/>
      <c r="H52" s="19"/>
      <c r="I52" s="22"/>
      <c r="J52" s="22"/>
      <c r="K52" s="22"/>
      <c r="L52" s="22"/>
      <c r="M52" s="22"/>
      <c r="N52" s="22"/>
      <c r="O52" s="19"/>
      <c r="P52" s="23" t="str">
        <f aca="false">IF(I52&gt;0,K52/I52,"")</f>
        <v/>
      </c>
      <c r="Q52" s="20" t="str">
        <f aca="false">IF(K52&gt;0,H52/K52,"")</f>
        <v/>
      </c>
      <c r="R52" s="20" t="str">
        <f aca="false">IF(I52&gt;0,H52/I52*1000,"")</f>
        <v/>
      </c>
      <c r="S52" s="23" t="str">
        <f aca="false">IF(K52&gt;0,N52/K52,"")</f>
        <v/>
      </c>
      <c r="T52" s="20" t="str">
        <f aca="false">IF(N52&gt;0,H52/N52,"")</f>
        <v/>
      </c>
      <c r="U52" s="18" t="str">
        <f aca="false">IF(H52&gt;0,O52/H52,"")</f>
        <v/>
      </c>
      <c r="V52" s="20" t="str">
        <f aca="false">IF(N52&gt;0,O52/N52,"")</f>
        <v/>
      </c>
      <c r="W52" s="20" t="str">
        <f aca="false">IF(H52&gt;0,O52*الإعدادات!$B$5-H52,"")</f>
        <v/>
      </c>
      <c r="X52" s="23" t="str">
        <f aca="false">IF(AND(I52&gt;0,A52&lt;&gt;""),P52-IFERROR(INDEX(الإعدادات!$B$15:$B$18,MATCH(A52,الإعدادات!$A$15:$A$18,0)),0),"")</f>
        <v/>
      </c>
      <c r="Y52" s="12" t="str">
        <f aca="false">IF(H52="","",IF(H52&lt;الإعدادات!$B$9,"بيانات غير كافية — انتظر",IF(N52=0,"إيقاف أو إعادة بناء (إنفاق بلا مبيعات)",IF(H52/N52&gt;الإعدادات!$B$8*1.5,"خفض الميزانية + اختبار إبداعات جديدة",IF(O52/H52&gt;=الإعدادات!$B$6*1.2,"توسيع الميزانية تدريجياً",IF(O52/H52&gt;=الإعدادات!$B$7,IF(AND(X52&lt;&gt;"",X52&lt;0),"رابحة — حدّث الإبداعات لرفع CTR","رابحة — حافظ وحسّن"),"تحت التعادل — حسّن الصفحة/العرض أو أوقف"))))))</f>
        <v/>
      </c>
    </row>
    <row r="53" customFormat="false" ht="15" hidden="false" customHeight="false" outlineLevel="0" collapsed="false">
      <c r="A53" s="14"/>
      <c r="B53" s="14"/>
      <c r="C53" s="14"/>
      <c r="D53" s="14"/>
      <c r="E53" s="14"/>
      <c r="F53" s="14"/>
      <c r="G53" s="14"/>
      <c r="H53" s="19"/>
      <c r="I53" s="22"/>
      <c r="J53" s="22"/>
      <c r="K53" s="22"/>
      <c r="L53" s="22"/>
      <c r="M53" s="22"/>
      <c r="N53" s="22"/>
      <c r="O53" s="19"/>
      <c r="P53" s="23" t="str">
        <f aca="false">IF(I53&gt;0,K53/I53,"")</f>
        <v/>
      </c>
      <c r="Q53" s="20" t="str">
        <f aca="false">IF(K53&gt;0,H53/K53,"")</f>
        <v/>
      </c>
      <c r="R53" s="20" t="str">
        <f aca="false">IF(I53&gt;0,H53/I53*1000,"")</f>
        <v/>
      </c>
      <c r="S53" s="23" t="str">
        <f aca="false">IF(K53&gt;0,N53/K53,"")</f>
        <v/>
      </c>
      <c r="T53" s="20" t="str">
        <f aca="false">IF(N53&gt;0,H53/N53,"")</f>
        <v/>
      </c>
      <c r="U53" s="18" t="str">
        <f aca="false">IF(H53&gt;0,O53/H53,"")</f>
        <v/>
      </c>
      <c r="V53" s="20" t="str">
        <f aca="false">IF(N53&gt;0,O53/N53,"")</f>
        <v/>
      </c>
      <c r="W53" s="20" t="str">
        <f aca="false">IF(H53&gt;0,O53*الإعدادات!$B$5-H53,"")</f>
        <v/>
      </c>
      <c r="X53" s="23" t="str">
        <f aca="false">IF(AND(I53&gt;0,A53&lt;&gt;""),P53-IFERROR(INDEX(الإعدادات!$B$15:$B$18,MATCH(A53,الإعدادات!$A$15:$A$18,0)),0),"")</f>
        <v/>
      </c>
      <c r="Y53" s="12" t="str">
        <f aca="false">IF(H53="","",IF(H53&lt;الإعدادات!$B$9,"بيانات غير كافية — انتظر",IF(N53=0,"إيقاف أو إعادة بناء (إنفاق بلا مبيعات)",IF(H53/N53&gt;الإعدادات!$B$8*1.5,"خفض الميزانية + اختبار إبداعات جديدة",IF(O53/H53&gt;=الإعدادات!$B$6*1.2,"توسيع الميزانية تدريجياً",IF(O53/H53&gt;=الإعدادات!$B$7,IF(AND(X53&lt;&gt;"",X53&lt;0),"رابحة — حدّث الإبداعات لرفع CTR","رابحة — حافظ وحسّن"),"تحت التعادل — حسّن الصفحة/العرض أو أوقف"))))))</f>
        <v/>
      </c>
    </row>
    <row r="54" customFormat="false" ht="15" hidden="false" customHeight="false" outlineLevel="0" collapsed="false">
      <c r="A54" s="14"/>
      <c r="B54" s="14"/>
      <c r="C54" s="14"/>
      <c r="D54" s="14"/>
      <c r="E54" s="14"/>
      <c r="F54" s="14"/>
      <c r="G54" s="14"/>
      <c r="H54" s="19"/>
      <c r="I54" s="22"/>
      <c r="J54" s="22"/>
      <c r="K54" s="22"/>
      <c r="L54" s="22"/>
      <c r="M54" s="22"/>
      <c r="N54" s="22"/>
      <c r="O54" s="19"/>
      <c r="P54" s="23" t="str">
        <f aca="false">IF(I54&gt;0,K54/I54,"")</f>
        <v/>
      </c>
      <c r="Q54" s="20" t="str">
        <f aca="false">IF(K54&gt;0,H54/K54,"")</f>
        <v/>
      </c>
      <c r="R54" s="20" t="str">
        <f aca="false">IF(I54&gt;0,H54/I54*1000,"")</f>
        <v/>
      </c>
      <c r="S54" s="23" t="str">
        <f aca="false">IF(K54&gt;0,N54/K54,"")</f>
        <v/>
      </c>
      <c r="T54" s="20" t="str">
        <f aca="false">IF(N54&gt;0,H54/N54,"")</f>
        <v/>
      </c>
      <c r="U54" s="18" t="str">
        <f aca="false">IF(H54&gt;0,O54/H54,"")</f>
        <v/>
      </c>
      <c r="V54" s="20" t="str">
        <f aca="false">IF(N54&gt;0,O54/N54,"")</f>
        <v/>
      </c>
      <c r="W54" s="20" t="str">
        <f aca="false">IF(H54&gt;0,O54*الإعدادات!$B$5-H54,"")</f>
        <v/>
      </c>
      <c r="X54" s="23" t="str">
        <f aca="false">IF(AND(I54&gt;0,A54&lt;&gt;""),P54-IFERROR(INDEX(الإعدادات!$B$15:$B$18,MATCH(A54,الإعدادات!$A$15:$A$18,0)),0),"")</f>
        <v/>
      </c>
      <c r="Y54" s="12" t="str">
        <f aca="false">IF(H54="","",IF(H54&lt;الإعدادات!$B$9,"بيانات غير كافية — انتظر",IF(N54=0,"إيقاف أو إعادة بناء (إنفاق بلا مبيعات)",IF(H54/N54&gt;الإعدادات!$B$8*1.5,"خفض الميزانية + اختبار إبداعات جديدة",IF(O54/H54&gt;=الإعدادات!$B$6*1.2,"توسيع الميزانية تدريجياً",IF(O54/H54&gt;=الإعدادات!$B$7,IF(AND(X54&lt;&gt;"",X54&lt;0),"رابحة — حدّث الإبداعات لرفع CTR","رابحة — حافظ وحسّن"),"تحت التعادل — حسّن الصفحة/العرض أو أوقف"))))))</f>
        <v/>
      </c>
    </row>
    <row r="55" customFormat="false" ht="15" hidden="false" customHeight="false" outlineLevel="0" collapsed="false">
      <c r="A55" s="14"/>
      <c r="B55" s="14"/>
      <c r="C55" s="14"/>
      <c r="D55" s="14"/>
      <c r="E55" s="14"/>
      <c r="F55" s="14"/>
      <c r="G55" s="14"/>
      <c r="H55" s="19"/>
      <c r="I55" s="22"/>
      <c r="J55" s="22"/>
      <c r="K55" s="22"/>
      <c r="L55" s="22"/>
      <c r="M55" s="22"/>
      <c r="N55" s="22"/>
      <c r="O55" s="19"/>
      <c r="P55" s="23" t="str">
        <f aca="false">IF(I55&gt;0,K55/I55,"")</f>
        <v/>
      </c>
      <c r="Q55" s="20" t="str">
        <f aca="false">IF(K55&gt;0,H55/K55,"")</f>
        <v/>
      </c>
      <c r="R55" s="20" t="str">
        <f aca="false">IF(I55&gt;0,H55/I55*1000,"")</f>
        <v/>
      </c>
      <c r="S55" s="23" t="str">
        <f aca="false">IF(K55&gt;0,N55/K55,"")</f>
        <v/>
      </c>
      <c r="T55" s="20" t="str">
        <f aca="false">IF(N55&gt;0,H55/N55,"")</f>
        <v/>
      </c>
      <c r="U55" s="18" t="str">
        <f aca="false">IF(H55&gt;0,O55/H55,"")</f>
        <v/>
      </c>
      <c r="V55" s="20" t="str">
        <f aca="false">IF(N55&gt;0,O55/N55,"")</f>
        <v/>
      </c>
      <c r="W55" s="20" t="str">
        <f aca="false">IF(H55&gt;0,O55*الإعدادات!$B$5-H55,"")</f>
        <v/>
      </c>
      <c r="X55" s="23" t="str">
        <f aca="false">IF(AND(I55&gt;0,A55&lt;&gt;""),P55-IFERROR(INDEX(الإعدادات!$B$15:$B$18,MATCH(A55,الإعدادات!$A$15:$A$18,0)),0),"")</f>
        <v/>
      </c>
      <c r="Y55" s="12" t="str">
        <f aca="false">IF(H55="","",IF(H55&lt;الإعدادات!$B$9,"بيانات غير كافية — انتظر",IF(N55=0,"إيقاف أو إعادة بناء (إنفاق بلا مبيعات)",IF(H55/N55&gt;الإعدادات!$B$8*1.5,"خفض الميزانية + اختبار إبداعات جديدة",IF(O55/H55&gt;=الإعدادات!$B$6*1.2,"توسيع الميزانية تدريجياً",IF(O55/H55&gt;=الإعدادات!$B$7,IF(AND(X55&lt;&gt;"",X55&lt;0),"رابحة — حدّث الإبداعات لرفع CTR","رابحة — حافظ وحسّن"),"تحت التعادل — حسّن الصفحة/العرض أو أوقف"))))))</f>
        <v/>
      </c>
    </row>
    <row r="56" customFormat="false" ht="15" hidden="false" customHeight="false" outlineLevel="0" collapsed="false">
      <c r="A56" s="14"/>
      <c r="B56" s="14"/>
      <c r="C56" s="14"/>
      <c r="D56" s="14"/>
      <c r="E56" s="14"/>
      <c r="F56" s="14"/>
      <c r="G56" s="14"/>
      <c r="H56" s="19"/>
      <c r="I56" s="22"/>
      <c r="J56" s="22"/>
      <c r="K56" s="22"/>
      <c r="L56" s="22"/>
      <c r="M56" s="22"/>
      <c r="N56" s="22"/>
      <c r="O56" s="19"/>
      <c r="P56" s="23" t="str">
        <f aca="false">IF(I56&gt;0,K56/I56,"")</f>
        <v/>
      </c>
      <c r="Q56" s="20" t="str">
        <f aca="false">IF(K56&gt;0,H56/K56,"")</f>
        <v/>
      </c>
      <c r="R56" s="20" t="str">
        <f aca="false">IF(I56&gt;0,H56/I56*1000,"")</f>
        <v/>
      </c>
      <c r="S56" s="23" t="str">
        <f aca="false">IF(K56&gt;0,N56/K56,"")</f>
        <v/>
      </c>
      <c r="T56" s="20" t="str">
        <f aca="false">IF(N56&gt;0,H56/N56,"")</f>
        <v/>
      </c>
      <c r="U56" s="18" t="str">
        <f aca="false">IF(H56&gt;0,O56/H56,"")</f>
        <v/>
      </c>
      <c r="V56" s="20" t="str">
        <f aca="false">IF(N56&gt;0,O56/N56,"")</f>
        <v/>
      </c>
      <c r="W56" s="20" t="str">
        <f aca="false">IF(H56&gt;0,O56*الإعدادات!$B$5-H56,"")</f>
        <v/>
      </c>
      <c r="X56" s="23" t="str">
        <f aca="false">IF(AND(I56&gt;0,A56&lt;&gt;""),P56-IFERROR(INDEX(الإعدادات!$B$15:$B$18,MATCH(A56,الإعدادات!$A$15:$A$18,0)),0),"")</f>
        <v/>
      </c>
      <c r="Y56" s="12" t="str">
        <f aca="false">IF(H56="","",IF(H56&lt;الإعدادات!$B$9,"بيانات غير كافية — انتظر",IF(N56=0,"إيقاف أو إعادة بناء (إنفاق بلا مبيعات)",IF(H56/N56&gt;الإعدادات!$B$8*1.5,"خفض الميزانية + اختبار إبداعات جديدة",IF(O56/H56&gt;=الإعدادات!$B$6*1.2,"توسيع الميزانية تدريجياً",IF(O56/H56&gt;=الإعدادات!$B$7,IF(AND(X56&lt;&gt;"",X56&lt;0),"رابحة — حدّث الإبداعات لرفع CTR","رابحة — حافظ وحسّن"),"تحت التعادل — حسّن الصفحة/العرض أو أوقف"))))))</f>
        <v/>
      </c>
    </row>
    <row r="57" customFormat="false" ht="15" hidden="false" customHeight="false" outlineLevel="0" collapsed="false">
      <c r="A57" s="14"/>
      <c r="B57" s="14"/>
      <c r="C57" s="14"/>
      <c r="D57" s="14"/>
      <c r="E57" s="14"/>
      <c r="F57" s="14"/>
      <c r="G57" s="14"/>
      <c r="H57" s="19"/>
      <c r="I57" s="22"/>
      <c r="J57" s="22"/>
      <c r="K57" s="22"/>
      <c r="L57" s="22"/>
      <c r="M57" s="22"/>
      <c r="N57" s="22"/>
      <c r="O57" s="19"/>
      <c r="P57" s="23" t="str">
        <f aca="false">IF(I57&gt;0,K57/I57,"")</f>
        <v/>
      </c>
      <c r="Q57" s="20" t="str">
        <f aca="false">IF(K57&gt;0,H57/K57,"")</f>
        <v/>
      </c>
      <c r="R57" s="20" t="str">
        <f aca="false">IF(I57&gt;0,H57/I57*1000,"")</f>
        <v/>
      </c>
      <c r="S57" s="23" t="str">
        <f aca="false">IF(K57&gt;0,N57/K57,"")</f>
        <v/>
      </c>
      <c r="T57" s="20" t="str">
        <f aca="false">IF(N57&gt;0,H57/N57,"")</f>
        <v/>
      </c>
      <c r="U57" s="18" t="str">
        <f aca="false">IF(H57&gt;0,O57/H57,"")</f>
        <v/>
      </c>
      <c r="V57" s="20" t="str">
        <f aca="false">IF(N57&gt;0,O57/N57,"")</f>
        <v/>
      </c>
      <c r="W57" s="20" t="str">
        <f aca="false">IF(H57&gt;0,O57*الإعدادات!$B$5-H57,"")</f>
        <v/>
      </c>
      <c r="X57" s="23" t="str">
        <f aca="false">IF(AND(I57&gt;0,A57&lt;&gt;""),P57-IFERROR(INDEX(الإعدادات!$B$15:$B$18,MATCH(A57,الإعدادات!$A$15:$A$18,0)),0),"")</f>
        <v/>
      </c>
      <c r="Y57" s="12" t="str">
        <f aca="false">IF(H57="","",IF(H57&lt;الإعدادات!$B$9,"بيانات غير كافية — انتظر",IF(N57=0,"إيقاف أو إعادة بناء (إنفاق بلا مبيعات)",IF(H57/N57&gt;الإعدادات!$B$8*1.5,"خفض الميزانية + اختبار إبداعات جديدة",IF(O57/H57&gt;=الإعدادات!$B$6*1.2,"توسيع الميزانية تدريجياً",IF(O57/H57&gt;=الإعدادات!$B$7,IF(AND(X57&lt;&gt;"",X57&lt;0),"رابحة — حدّث الإبداعات لرفع CTR","رابحة — حافظ وحسّن"),"تحت التعادل — حسّن الصفحة/العرض أو أوقف"))))))</f>
        <v/>
      </c>
    </row>
    <row r="58" customFormat="false" ht="15" hidden="false" customHeight="false" outlineLevel="0" collapsed="false">
      <c r="A58" s="14"/>
      <c r="B58" s="14"/>
      <c r="C58" s="14"/>
      <c r="D58" s="14"/>
      <c r="E58" s="14"/>
      <c r="F58" s="14"/>
      <c r="G58" s="14"/>
      <c r="H58" s="19"/>
      <c r="I58" s="22"/>
      <c r="J58" s="22"/>
      <c r="K58" s="22"/>
      <c r="L58" s="22"/>
      <c r="M58" s="22"/>
      <c r="N58" s="22"/>
      <c r="O58" s="19"/>
      <c r="P58" s="23" t="str">
        <f aca="false">IF(I58&gt;0,K58/I58,"")</f>
        <v/>
      </c>
      <c r="Q58" s="20" t="str">
        <f aca="false">IF(K58&gt;0,H58/K58,"")</f>
        <v/>
      </c>
      <c r="R58" s="20" t="str">
        <f aca="false">IF(I58&gt;0,H58/I58*1000,"")</f>
        <v/>
      </c>
      <c r="S58" s="23" t="str">
        <f aca="false">IF(K58&gt;0,N58/K58,"")</f>
        <v/>
      </c>
      <c r="T58" s="20" t="str">
        <f aca="false">IF(N58&gt;0,H58/N58,"")</f>
        <v/>
      </c>
      <c r="U58" s="18" t="str">
        <f aca="false">IF(H58&gt;0,O58/H58,"")</f>
        <v/>
      </c>
      <c r="V58" s="20" t="str">
        <f aca="false">IF(N58&gt;0,O58/N58,"")</f>
        <v/>
      </c>
      <c r="W58" s="20" t="str">
        <f aca="false">IF(H58&gt;0,O58*الإعدادات!$B$5-H58,"")</f>
        <v/>
      </c>
      <c r="X58" s="23" t="str">
        <f aca="false">IF(AND(I58&gt;0,A58&lt;&gt;""),P58-IFERROR(INDEX(الإعدادات!$B$15:$B$18,MATCH(A58,الإعدادات!$A$15:$A$18,0)),0),"")</f>
        <v/>
      </c>
      <c r="Y58" s="12" t="str">
        <f aca="false">IF(H58="","",IF(H58&lt;الإعدادات!$B$9,"بيانات غير كافية — انتظر",IF(N58=0,"إيقاف أو إعادة بناء (إنفاق بلا مبيعات)",IF(H58/N58&gt;الإعدادات!$B$8*1.5,"خفض الميزانية + اختبار إبداعات جديدة",IF(O58/H58&gt;=الإعدادات!$B$6*1.2,"توسيع الميزانية تدريجياً",IF(O58/H58&gt;=الإعدادات!$B$7,IF(AND(X58&lt;&gt;"",X58&lt;0),"رابحة — حدّث الإبداعات لرفع CTR","رابحة — حافظ وحسّن"),"تحت التعادل — حسّن الصفحة/العرض أو أوقف"))))))</f>
        <v/>
      </c>
    </row>
    <row r="59" customFormat="false" ht="15" hidden="false" customHeight="false" outlineLevel="0" collapsed="false">
      <c r="A59" s="14"/>
      <c r="B59" s="14"/>
      <c r="C59" s="14"/>
      <c r="D59" s="14"/>
      <c r="E59" s="14"/>
      <c r="F59" s="14"/>
      <c r="G59" s="14"/>
      <c r="H59" s="19"/>
      <c r="I59" s="22"/>
      <c r="J59" s="22"/>
      <c r="K59" s="22"/>
      <c r="L59" s="22"/>
      <c r="M59" s="22"/>
      <c r="N59" s="22"/>
      <c r="O59" s="19"/>
      <c r="P59" s="23" t="str">
        <f aca="false">IF(I59&gt;0,K59/I59,"")</f>
        <v/>
      </c>
      <c r="Q59" s="20" t="str">
        <f aca="false">IF(K59&gt;0,H59/K59,"")</f>
        <v/>
      </c>
      <c r="R59" s="20" t="str">
        <f aca="false">IF(I59&gt;0,H59/I59*1000,"")</f>
        <v/>
      </c>
      <c r="S59" s="23" t="str">
        <f aca="false">IF(K59&gt;0,N59/K59,"")</f>
        <v/>
      </c>
      <c r="T59" s="20" t="str">
        <f aca="false">IF(N59&gt;0,H59/N59,"")</f>
        <v/>
      </c>
      <c r="U59" s="18" t="str">
        <f aca="false">IF(H59&gt;0,O59/H59,"")</f>
        <v/>
      </c>
      <c r="V59" s="20" t="str">
        <f aca="false">IF(N59&gt;0,O59/N59,"")</f>
        <v/>
      </c>
      <c r="W59" s="20" t="str">
        <f aca="false">IF(H59&gt;0,O59*الإعدادات!$B$5-H59,"")</f>
        <v/>
      </c>
      <c r="X59" s="23" t="str">
        <f aca="false">IF(AND(I59&gt;0,A59&lt;&gt;""),P59-IFERROR(INDEX(الإعدادات!$B$15:$B$18,MATCH(A59,الإعدادات!$A$15:$A$18,0)),0),"")</f>
        <v/>
      </c>
      <c r="Y59" s="12" t="str">
        <f aca="false">IF(H59="","",IF(H59&lt;الإعدادات!$B$9,"بيانات غير كافية — انتظر",IF(N59=0,"إيقاف أو إعادة بناء (إنفاق بلا مبيعات)",IF(H59/N59&gt;الإعدادات!$B$8*1.5,"خفض الميزانية + اختبار إبداعات جديدة",IF(O59/H59&gt;=الإعدادات!$B$6*1.2,"توسيع الميزانية تدريجياً",IF(O59/H59&gt;=الإعدادات!$B$7,IF(AND(X59&lt;&gt;"",X59&lt;0),"رابحة — حدّث الإبداعات لرفع CTR","رابحة — حافظ وحسّن"),"تحت التعادل — حسّن الصفحة/العرض أو أوقف"))))))</f>
        <v/>
      </c>
    </row>
    <row r="60" customFormat="false" ht="15" hidden="false" customHeight="false" outlineLevel="0" collapsed="false">
      <c r="A60" s="14"/>
      <c r="B60" s="14"/>
      <c r="C60" s="14"/>
      <c r="D60" s="14"/>
      <c r="E60" s="14"/>
      <c r="F60" s="14"/>
      <c r="G60" s="14"/>
      <c r="H60" s="19"/>
      <c r="I60" s="22"/>
      <c r="J60" s="22"/>
      <c r="K60" s="22"/>
      <c r="L60" s="22"/>
      <c r="M60" s="22"/>
      <c r="N60" s="22"/>
      <c r="O60" s="19"/>
      <c r="P60" s="23" t="str">
        <f aca="false">IF(I60&gt;0,K60/I60,"")</f>
        <v/>
      </c>
      <c r="Q60" s="20" t="str">
        <f aca="false">IF(K60&gt;0,H60/K60,"")</f>
        <v/>
      </c>
      <c r="R60" s="20" t="str">
        <f aca="false">IF(I60&gt;0,H60/I60*1000,"")</f>
        <v/>
      </c>
      <c r="S60" s="23" t="str">
        <f aca="false">IF(K60&gt;0,N60/K60,"")</f>
        <v/>
      </c>
      <c r="T60" s="20" t="str">
        <f aca="false">IF(N60&gt;0,H60/N60,"")</f>
        <v/>
      </c>
      <c r="U60" s="18" t="str">
        <f aca="false">IF(H60&gt;0,O60/H60,"")</f>
        <v/>
      </c>
      <c r="V60" s="20" t="str">
        <f aca="false">IF(N60&gt;0,O60/N60,"")</f>
        <v/>
      </c>
      <c r="W60" s="20" t="str">
        <f aca="false">IF(H60&gt;0,O60*الإعدادات!$B$5-H60,"")</f>
        <v/>
      </c>
      <c r="X60" s="23" t="str">
        <f aca="false">IF(AND(I60&gt;0,A60&lt;&gt;""),P60-IFERROR(INDEX(الإعدادات!$B$15:$B$18,MATCH(A60,الإعدادات!$A$15:$A$18,0)),0),"")</f>
        <v/>
      </c>
      <c r="Y60" s="12" t="str">
        <f aca="false">IF(H60="","",IF(H60&lt;الإعدادات!$B$9,"بيانات غير كافية — انتظر",IF(N60=0,"إيقاف أو إعادة بناء (إنفاق بلا مبيعات)",IF(H60/N60&gt;الإعدادات!$B$8*1.5,"خفض الميزانية + اختبار إبداعات جديدة",IF(O60/H60&gt;=الإعدادات!$B$6*1.2,"توسيع الميزانية تدريجياً",IF(O60/H60&gt;=الإعدادات!$B$7,IF(AND(X60&lt;&gt;"",X60&lt;0),"رابحة — حدّث الإبداعات لرفع CTR","رابحة — حافظ وحسّن"),"تحت التعادل — حسّن الصفحة/العرض أو أوقف"))))))</f>
        <v/>
      </c>
    </row>
    <row r="61" customFormat="false" ht="15" hidden="false" customHeight="false" outlineLevel="0" collapsed="false">
      <c r="A61" s="14"/>
      <c r="B61" s="14"/>
      <c r="C61" s="14"/>
      <c r="D61" s="14"/>
      <c r="E61" s="14"/>
      <c r="F61" s="14"/>
      <c r="G61" s="14"/>
      <c r="H61" s="19"/>
      <c r="I61" s="22"/>
      <c r="J61" s="22"/>
      <c r="K61" s="22"/>
      <c r="L61" s="22"/>
      <c r="M61" s="22"/>
      <c r="N61" s="22"/>
      <c r="O61" s="19"/>
      <c r="P61" s="23" t="str">
        <f aca="false">IF(I61&gt;0,K61/I61,"")</f>
        <v/>
      </c>
      <c r="Q61" s="20" t="str">
        <f aca="false">IF(K61&gt;0,H61/K61,"")</f>
        <v/>
      </c>
      <c r="R61" s="20" t="str">
        <f aca="false">IF(I61&gt;0,H61/I61*1000,"")</f>
        <v/>
      </c>
      <c r="S61" s="23" t="str">
        <f aca="false">IF(K61&gt;0,N61/K61,"")</f>
        <v/>
      </c>
      <c r="T61" s="20" t="str">
        <f aca="false">IF(N61&gt;0,H61/N61,"")</f>
        <v/>
      </c>
      <c r="U61" s="18" t="str">
        <f aca="false">IF(H61&gt;0,O61/H61,"")</f>
        <v/>
      </c>
      <c r="V61" s="20" t="str">
        <f aca="false">IF(N61&gt;0,O61/N61,"")</f>
        <v/>
      </c>
      <c r="W61" s="20" t="str">
        <f aca="false">IF(H61&gt;0,O61*الإعدادات!$B$5-H61,"")</f>
        <v/>
      </c>
      <c r="X61" s="23" t="str">
        <f aca="false">IF(AND(I61&gt;0,A61&lt;&gt;""),P61-IFERROR(INDEX(الإعدادات!$B$15:$B$18,MATCH(A61,الإعدادات!$A$15:$A$18,0)),0),"")</f>
        <v/>
      </c>
      <c r="Y61" s="12" t="str">
        <f aca="false">IF(H61="","",IF(H61&lt;الإعدادات!$B$9,"بيانات غير كافية — انتظر",IF(N61=0,"إيقاف أو إعادة بناء (إنفاق بلا مبيعات)",IF(H61/N61&gt;الإعدادات!$B$8*1.5,"خفض الميزانية + اختبار إبداعات جديدة",IF(O61/H61&gt;=الإعدادات!$B$6*1.2,"توسيع الميزانية تدريجياً",IF(O61/H61&gt;=الإعدادات!$B$7,IF(AND(X61&lt;&gt;"",X61&lt;0),"رابحة — حدّث الإبداعات لرفع CTR","رابحة — حافظ وحسّن"),"تحت التعادل — حسّن الصفحة/العرض أو أوقف"))))))</f>
        <v/>
      </c>
    </row>
    <row r="62" customFormat="false" ht="15" hidden="false" customHeight="false" outlineLevel="0" collapsed="false">
      <c r="A62" s="14"/>
      <c r="B62" s="14"/>
      <c r="C62" s="14"/>
      <c r="D62" s="14"/>
      <c r="E62" s="14"/>
      <c r="F62" s="14"/>
      <c r="G62" s="14"/>
      <c r="H62" s="19"/>
      <c r="I62" s="22"/>
      <c r="J62" s="22"/>
      <c r="K62" s="22"/>
      <c r="L62" s="22"/>
      <c r="M62" s="22"/>
      <c r="N62" s="22"/>
      <c r="O62" s="19"/>
      <c r="P62" s="23" t="str">
        <f aca="false">IF(I62&gt;0,K62/I62,"")</f>
        <v/>
      </c>
      <c r="Q62" s="20" t="str">
        <f aca="false">IF(K62&gt;0,H62/K62,"")</f>
        <v/>
      </c>
      <c r="R62" s="20" t="str">
        <f aca="false">IF(I62&gt;0,H62/I62*1000,"")</f>
        <v/>
      </c>
      <c r="S62" s="23" t="str">
        <f aca="false">IF(K62&gt;0,N62/K62,"")</f>
        <v/>
      </c>
      <c r="T62" s="20" t="str">
        <f aca="false">IF(N62&gt;0,H62/N62,"")</f>
        <v/>
      </c>
      <c r="U62" s="18" t="str">
        <f aca="false">IF(H62&gt;0,O62/H62,"")</f>
        <v/>
      </c>
      <c r="V62" s="20" t="str">
        <f aca="false">IF(N62&gt;0,O62/N62,"")</f>
        <v/>
      </c>
      <c r="W62" s="20" t="str">
        <f aca="false">IF(H62&gt;0,O62*الإعدادات!$B$5-H62,"")</f>
        <v/>
      </c>
      <c r="X62" s="23" t="str">
        <f aca="false">IF(AND(I62&gt;0,A62&lt;&gt;""),P62-IFERROR(INDEX(الإعدادات!$B$15:$B$18,MATCH(A62,الإعدادات!$A$15:$A$18,0)),0),"")</f>
        <v/>
      </c>
      <c r="Y62" s="12" t="str">
        <f aca="false">IF(H62="","",IF(H62&lt;الإعدادات!$B$9,"بيانات غير كافية — انتظر",IF(N62=0,"إيقاف أو إعادة بناء (إنفاق بلا مبيعات)",IF(H62/N62&gt;الإعدادات!$B$8*1.5,"خفض الميزانية + اختبار إبداعات جديدة",IF(O62/H62&gt;=الإعدادات!$B$6*1.2,"توسيع الميزانية تدريجياً",IF(O62/H62&gt;=الإعدادات!$B$7,IF(AND(X62&lt;&gt;"",X62&lt;0),"رابحة — حدّث الإبداعات لرفع CTR","رابحة — حافظ وحسّن"),"تحت التعادل — حسّن الصفحة/العرض أو أوقف"))))))</f>
        <v/>
      </c>
    </row>
    <row r="63" customFormat="false" ht="15" hidden="false" customHeight="false" outlineLevel="0" collapsed="false">
      <c r="A63" s="14"/>
      <c r="B63" s="14"/>
      <c r="C63" s="14"/>
      <c r="D63" s="14"/>
      <c r="E63" s="14"/>
      <c r="F63" s="14"/>
      <c r="G63" s="14"/>
      <c r="H63" s="19"/>
      <c r="I63" s="22"/>
      <c r="J63" s="22"/>
      <c r="K63" s="22"/>
      <c r="L63" s="22"/>
      <c r="M63" s="22"/>
      <c r="N63" s="22"/>
      <c r="O63" s="19"/>
      <c r="P63" s="23" t="str">
        <f aca="false">IF(I63&gt;0,K63/I63,"")</f>
        <v/>
      </c>
      <c r="Q63" s="20" t="str">
        <f aca="false">IF(K63&gt;0,H63/K63,"")</f>
        <v/>
      </c>
      <c r="R63" s="20" t="str">
        <f aca="false">IF(I63&gt;0,H63/I63*1000,"")</f>
        <v/>
      </c>
      <c r="S63" s="23" t="str">
        <f aca="false">IF(K63&gt;0,N63/K63,"")</f>
        <v/>
      </c>
      <c r="T63" s="20" t="str">
        <f aca="false">IF(N63&gt;0,H63/N63,"")</f>
        <v/>
      </c>
      <c r="U63" s="18" t="str">
        <f aca="false">IF(H63&gt;0,O63/H63,"")</f>
        <v/>
      </c>
      <c r="V63" s="20" t="str">
        <f aca="false">IF(N63&gt;0,O63/N63,"")</f>
        <v/>
      </c>
      <c r="W63" s="20" t="str">
        <f aca="false">IF(H63&gt;0,O63*الإعدادات!$B$5-H63,"")</f>
        <v/>
      </c>
      <c r="X63" s="23" t="str">
        <f aca="false">IF(AND(I63&gt;0,A63&lt;&gt;""),P63-IFERROR(INDEX(الإعدادات!$B$15:$B$18,MATCH(A63,الإعدادات!$A$15:$A$18,0)),0),"")</f>
        <v/>
      </c>
      <c r="Y63" s="12" t="str">
        <f aca="false">IF(H63="","",IF(H63&lt;الإعدادات!$B$9,"بيانات غير كافية — انتظر",IF(N63=0,"إيقاف أو إعادة بناء (إنفاق بلا مبيعات)",IF(H63/N63&gt;الإعدادات!$B$8*1.5,"خفض الميزانية + اختبار إبداعات جديدة",IF(O63/H63&gt;=الإعدادات!$B$6*1.2,"توسيع الميزانية تدريجياً",IF(O63/H63&gt;=الإعدادات!$B$7,IF(AND(X63&lt;&gt;"",X63&lt;0),"رابحة — حدّث الإبداعات لرفع CTR","رابحة — حافظ وحسّن"),"تحت التعادل — حسّن الصفحة/العرض أو أوقف"))))))</f>
        <v/>
      </c>
    </row>
    <row r="64" customFormat="false" ht="15" hidden="false" customHeight="false" outlineLevel="0" collapsed="false">
      <c r="A64" s="14"/>
      <c r="B64" s="14"/>
      <c r="C64" s="14"/>
      <c r="D64" s="14"/>
      <c r="E64" s="14"/>
      <c r="F64" s="14"/>
      <c r="G64" s="14"/>
      <c r="H64" s="19"/>
      <c r="I64" s="22"/>
      <c r="J64" s="22"/>
      <c r="K64" s="22"/>
      <c r="L64" s="22"/>
      <c r="M64" s="22"/>
      <c r="N64" s="22"/>
      <c r="O64" s="19"/>
      <c r="P64" s="23" t="str">
        <f aca="false">IF(I64&gt;0,K64/I64,"")</f>
        <v/>
      </c>
      <c r="Q64" s="20" t="str">
        <f aca="false">IF(K64&gt;0,H64/K64,"")</f>
        <v/>
      </c>
      <c r="R64" s="20" t="str">
        <f aca="false">IF(I64&gt;0,H64/I64*1000,"")</f>
        <v/>
      </c>
      <c r="S64" s="23" t="str">
        <f aca="false">IF(K64&gt;0,N64/K64,"")</f>
        <v/>
      </c>
      <c r="T64" s="20" t="str">
        <f aca="false">IF(N64&gt;0,H64/N64,"")</f>
        <v/>
      </c>
      <c r="U64" s="18" t="str">
        <f aca="false">IF(H64&gt;0,O64/H64,"")</f>
        <v/>
      </c>
      <c r="V64" s="20" t="str">
        <f aca="false">IF(N64&gt;0,O64/N64,"")</f>
        <v/>
      </c>
      <c r="W64" s="20" t="str">
        <f aca="false">IF(H64&gt;0,O64*الإعدادات!$B$5-H64,"")</f>
        <v/>
      </c>
      <c r="X64" s="23" t="str">
        <f aca="false">IF(AND(I64&gt;0,A64&lt;&gt;""),P64-IFERROR(INDEX(الإعدادات!$B$15:$B$18,MATCH(A64,الإعدادات!$A$15:$A$18,0)),0),"")</f>
        <v/>
      </c>
      <c r="Y64" s="12" t="str">
        <f aca="false">IF(H64="","",IF(H64&lt;الإعدادات!$B$9,"بيانات غير كافية — انتظر",IF(N64=0,"إيقاف أو إعادة بناء (إنفاق بلا مبيعات)",IF(H64/N64&gt;الإعدادات!$B$8*1.5,"خفض الميزانية + اختبار إبداعات جديدة",IF(O64/H64&gt;=الإعدادات!$B$6*1.2,"توسيع الميزانية تدريجياً",IF(O64/H64&gt;=الإعدادات!$B$7,IF(AND(X64&lt;&gt;"",X64&lt;0),"رابحة — حدّث الإبداعات لرفع CTR","رابحة — حافظ وحسّن"),"تحت التعادل — حسّن الصفحة/العرض أو أوقف"))))))</f>
        <v/>
      </c>
    </row>
    <row r="65" customFormat="false" ht="15" hidden="false" customHeight="false" outlineLevel="0" collapsed="false">
      <c r="A65" s="14"/>
      <c r="B65" s="14"/>
      <c r="C65" s="14"/>
      <c r="D65" s="14"/>
      <c r="E65" s="14"/>
      <c r="F65" s="14"/>
      <c r="G65" s="14"/>
      <c r="H65" s="19"/>
      <c r="I65" s="22"/>
      <c r="J65" s="22"/>
      <c r="K65" s="22"/>
      <c r="L65" s="22"/>
      <c r="M65" s="22"/>
      <c r="N65" s="22"/>
      <c r="O65" s="19"/>
      <c r="P65" s="23" t="str">
        <f aca="false">IF(I65&gt;0,K65/I65,"")</f>
        <v/>
      </c>
      <c r="Q65" s="20" t="str">
        <f aca="false">IF(K65&gt;0,H65/K65,"")</f>
        <v/>
      </c>
      <c r="R65" s="20" t="str">
        <f aca="false">IF(I65&gt;0,H65/I65*1000,"")</f>
        <v/>
      </c>
      <c r="S65" s="23" t="str">
        <f aca="false">IF(K65&gt;0,N65/K65,"")</f>
        <v/>
      </c>
      <c r="T65" s="20" t="str">
        <f aca="false">IF(N65&gt;0,H65/N65,"")</f>
        <v/>
      </c>
      <c r="U65" s="18" t="str">
        <f aca="false">IF(H65&gt;0,O65/H65,"")</f>
        <v/>
      </c>
      <c r="V65" s="20" t="str">
        <f aca="false">IF(N65&gt;0,O65/N65,"")</f>
        <v/>
      </c>
      <c r="W65" s="20" t="str">
        <f aca="false">IF(H65&gt;0,O65*الإعدادات!$B$5-H65,"")</f>
        <v/>
      </c>
      <c r="X65" s="23" t="str">
        <f aca="false">IF(AND(I65&gt;0,A65&lt;&gt;""),P65-IFERROR(INDEX(الإعدادات!$B$15:$B$18,MATCH(A65,الإعدادات!$A$15:$A$18,0)),0),"")</f>
        <v/>
      </c>
      <c r="Y65" s="12" t="str">
        <f aca="false">IF(H65="","",IF(H65&lt;الإعدادات!$B$9,"بيانات غير كافية — انتظر",IF(N65=0,"إيقاف أو إعادة بناء (إنفاق بلا مبيعات)",IF(H65/N65&gt;الإعدادات!$B$8*1.5,"خفض الميزانية + اختبار إبداعات جديدة",IF(O65/H65&gt;=الإعدادات!$B$6*1.2,"توسيع الميزانية تدريجياً",IF(O65/H65&gt;=الإعدادات!$B$7,IF(AND(X65&lt;&gt;"",X65&lt;0),"رابحة — حدّث الإبداعات لرفع CTR","رابحة — حافظ وحسّن"),"تحت التعادل — حسّن الصفحة/العرض أو أوقف"))))))</f>
        <v/>
      </c>
    </row>
    <row r="66" customFormat="false" ht="15" hidden="false" customHeight="false" outlineLevel="0" collapsed="false">
      <c r="A66" s="14"/>
      <c r="B66" s="14"/>
      <c r="C66" s="14"/>
      <c r="D66" s="14"/>
      <c r="E66" s="14"/>
      <c r="F66" s="14"/>
      <c r="G66" s="14"/>
      <c r="H66" s="19"/>
      <c r="I66" s="22"/>
      <c r="J66" s="22"/>
      <c r="K66" s="22"/>
      <c r="L66" s="22"/>
      <c r="M66" s="22"/>
      <c r="N66" s="22"/>
      <c r="O66" s="19"/>
      <c r="P66" s="23" t="str">
        <f aca="false">IF(I66&gt;0,K66/I66,"")</f>
        <v/>
      </c>
      <c r="Q66" s="20" t="str">
        <f aca="false">IF(K66&gt;0,H66/K66,"")</f>
        <v/>
      </c>
      <c r="R66" s="20" t="str">
        <f aca="false">IF(I66&gt;0,H66/I66*1000,"")</f>
        <v/>
      </c>
      <c r="S66" s="23" t="str">
        <f aca="false">IF(K66&gt;0,N66/K66,"")</f>
        <v/>
      </c>
      <c r="T66" s="20" t="str">
        <f aca="false">IF(N66&gt;0,H66/N66,"")</f>
        <v/>
      </c>
      <c r="U66" s="18" t="str">
        <f aca="false">IF(H66&gt;0,O66/H66,"")</f>
        <v/>
      </c>
      <c r="V66" s="20" t="str">
        <f aca="false">IF(N66&gt;0,O66/N66,"")</f>
        <v/>
      </c>
      <c r="W66" s="20" t="str">
        <f aca="false">IF(H66&gt;0,O66*الإعدادات!$B$5-H66,"")</f>
        <v/>
      </c>
      <c r="X66" s="23" t="str">
        <f aca="false">IF(AND(I66&gt;0,A66&lt;&gt;""),P66-IFERROR(INDEX(الإعدادات!$B$15:$B$18,MATCH(A66,الإعدادات!$A$15:$A$18,0)),0),"")</f>
        <v/>
      </c>
      <c r="Y66" s="12" t="str">
        <f aca="false">IF(H66="","",IF(H66&lt;الإعدادات!$B$9,"بيانات غير كافية — انتظر",IF(N66=0,"إيقاف أو إعادة بناء (إنفاق بلا مبيعات)",IF(H66/N66&gt;الإعدادات!$B$8*1.5,"خفض الميزانية + اختبار إبداعات جديدة",IF(O66/H66&gt;=الإعدادات!$B$6*1.2,"توسيع الميزانية تدريجياً",IF(O66/H66&gt;=الإعدادات!$B$7,IF(AND(X66&lt;&gt;"",X66&lt;0),"رابحة — حدّث الإبداعات لرفع CTR","رابحة — حافظ وحسّن"),"تحت التعادل — حسّن الصفحة/العرض أو أوقف"))))))</f>
        <v/>
      </c>
    </row>
    <row r="67" customFormat="false" ht="15" hidden="false" customHeight="false" outlineLevel="0" collapsed="false">
      <c r="A67" s="14"/>
      <c r="B67" s="14"/>
      <c r="C67" s="14"/>
      <c r="D67" s="14"/>
      <c r="E67" s="14"/>
      <c r="F67" s="14"/>
      <c r="G67" s="14"/>
      <c r="H67" s="19"/>
      <c r="I67" s="22"/>
      <c r="J67" s="22"/>
      <c r="K67" s="22"/>
      <c r="L67" s="22"/>
      <c r="M67" s="22"/>
      <c r="N67" s="22"/>
      <c r="O67" s="19"/>
      <c r="P67" s="23" t="str">
        <f aca="false">IF(I67&gt;0,K67/I67,"")</f>
        <v/>
      </c>
      <c r="Q67" s="20" t="str">
        <f aca="false">IF(K67&gt;0,H67/K67,"")</f>
        <v/>
      </c>
      <c r="R67" s="20" t="str">
        <f aca="false">IF(I67&gt;0,H67/I67*1000,"")</f>
        <v/>
      </c>
      <c r="S67" s="23" t="str">
        <f aca="false">IF(K67&gt;0,N67/K67,"")</f>
        <v/>
      </c>
      <c r="T67" s="20" t="str">
        <f aca="false">IF(N67&gt;0,H67/N67,"")</f>
        <v/>
      </c>
      <c r="U67" s="18" t="str">
        <f aca="false">IF(H67&gt;0,O67/H67,"")</f>
        <v/>
      </c>
      <c r="V67" s="20" t="str">
        <f aca="false">IF(N67&gt;0,O67/N67,"")</f>
        <v/>
      </c>
      <c r="W67" s="20" t="str">
        <f aca="false">IF(H67&gt;0,O67*الإعدادات!$B$5-H67,"")</f>
        <v/>
      </c>
      <c r="X67" s="23" t="str">
        <f aca="false">IF(AND(I67&gt;0,A67&lt;&gt;""),P67-IFERROR(INDEX(الإعدادات!$B$15:$B$18,MATCH(A67,الإعدادات!$A$15:$A$18,0)),0),"")</f>
        <v/>
      </c>
      <c r="Y67" s="12" t="str">
        <f aca="false">IF(H67="","",IF(H67&lt;الإعدادات!$B$9,"بيانات غير كافية — انتظر",IF(N67=0,"إيقاف أو إعادة بناء (إنفاق بلا مبيعات)",IF(H67/N67&gt;الإعدادات!$B$8*1.5,"خفض الميزانية + اختبار إبداعات جديدة",IF(O67/H67&gt;=الإعدادات!$B$6*1.2,"توسيع الميزانية تدريجياً",IF(O67/H67&gt;=الإعدادات!$B$7,IF(AND(X67&lt;&gt;"",X67&lt;0),"رابحة — حدّث الإبداعات لرفع CTR","رابحة — حافظ وحسّن"),"تحت التعادل — حسّن الصفحة/العرض أو أوقف"))))))</f>
        <v/>
      </c>
    </row>
    <row r="68" customFormat="false" ht="15" hidden="false" customHeight="false" outlineLevel="0" collapsed="false">
      <c r="A68" s="14"/>
      <c r="B68" s="14"/>
      <c r="C68" s="14"/>
      <c r="D68" s="14"/>
      <c r="E68" s="14"/>
      <c r="F68" s="14"/>
      <c r="G68" s="14"/>
      <c r="H68" s="19"/>
      <c r="I68" s="22"/>
      <c r="J68" s="22"/>
      <c r="K68" s="22"/>
      <c r="L68" s="22"/>
      <c r="M68" s="22"/>
      <c r="N68" s="22"/>
      <c r="O68" s="19"/>
      <c r="P68" s="23" t="str">
        <f aca="false">IF(I68&gt;0,K68/I68,"")</f>
        <v/>
      </c>
      <c r="Q68" s="20" t="str">
        <f aca="false">IF(K68&gt;0,H68/K68,"")</f>
        <v/>
      </c>
      <c r="R68" s="20" t="str">
        <f aca="false">IF(I68&gt;0,H68/I68*1000,"")</f>
        <v/>
      </c>
      <c r="S68" s="23" t="str">
        <f aca="false">IF(K68&gt;0,N68/K68,"")</f>
        <v/>
      </c>
      <c r="T68" s="20" t="str">
        <f aca="false">IF(N68&gt;0,H68/N68,"")</f>
        <v/>
      </c>
      <c r="U68" s="18" t="str">
        <f aca="false">IF(H68&gt;0,O68/H68,"")</f>
        <v/>
      </c>
      <c r="V68" s="20" t="str">
        <f aca="false">IF(N68&gt;0,O68/N68,"")</f>
        <v/>
      </c>
      <c r="W68" s="20" t="str">
        <f aca="false">IF(H68&gt;0,O68*الإعدادات!$B$5-H68,"")</f>
        <v/>
      </c>
      <c r="X68" s="23" t="str">
        <f aca="false">IF(AND(I68&gt;0,A68&lt;&gt;""),P68-IFERROR(INDEX(الإعدادات!$B$15:$B$18,MATCH(A68,الإعدادات!$A$15:$A$18,0)),0),"")</f>
        <v/>
      </c>
      <c r="Y68" s="12" t="str">
        <f aca="false">IF(H68="","",IF(H68&lt;الإعدادات!$B$9,"بيانات غير كافية — انتظر",IF(N68=0,"إيقاف أو إعادة بناء (إنفاق بلا مبيعات)",IF(H68/N68&gt;الإعدادات!$B$8*1.5,"خفض الميزانية + اختبار إبداعات جديدة",IF(O68/H68&gt;=الإعدادات!$B$6*1.2,"توسيع الميزانية تدريجياً",IF(O68/H68&gt;=الإعدادات!$B$7,IF(AND(X68&lt;&gt;"",X68&lt;0),"رابحة — حدّث الإبداعات لرفع CTR","رابحة — حافظ وحسّن"),"تحت التعادل — حسّن الصفحة/العرض أو أوقف"))))))</f>
        <v/>
      </c>
    </row>
    <row r="69" customFormat="false" ht="15" hidden="false" customHeight="false" outlineLevel="0" collapsed="false">
      <c r="A69" s="14"/>
      <c r="B69" s="14"/>
      <c r="C69" s="14"/>
      <c r="D69" s="14"/>
      <c r="E69" s="14"/>
      <c r="F69" s="14"/>
      <c r="G69" s="14"/>
      <c r="H69" s="19"/>
      <c r="I69" s="22"/>
      <c r="J69" s="22"/>
      <c r="K69" s="22"/>
      <c r="L69" s="22"/>
      <c r="M69" s="22"/>
      <c r="N69" s="22"/>
      <c r="O69" s="19"/>
      <c r="P69" s="23" t="str">
        <f aca="false">IF(I69&gt;0,K69/I69,"")</f>
        <v/>
      </c>
      <c r="Q69" s="20" t="str">
        <f aca="false">IF(K69&gt;0,H69/K69,"")</f>
        <v/>
      </c>
      <c r="R69" s="20" t="str">
        <f aca="false">IF(I69&gt;0,H69/I69*1000,"")</f>
        <v/>
      </c>
      <c r="S69" s="23" t="str">
        <f aca="false">IF(K69&gt;0,N69/K69,"")</f>
        <v/>
      </c>
      <c r="T69" s="20" t="str">
        <f aca="false">IF(N69&gt;0,H69/N69,"")</f>
        <v/>
      </c>
      <c r="U69" s="18" t="str">
        <f aca="false">IF(H69&gt;0,O69/H69,"")</f>
        <v/>
      </c>
      <c r="V69" s="20" t="str">
        <f aca="false">IF(N69&gt;0,O69/N69,"")</f>
        <v/>
      </c>
      <c r="W69" s="20" t="str">
        <f aca="false">IF(H69&gt;0,O69*الإعدادات!$B$5-H69,"")</f>
        <v/>
      </c>
      <c r="X69" s="23" t="str">
        <f aca="false">IF(AND(I69&gt;0,A69&lt;&gt;""),P69-IFERROR(INDEX(الإعدادات!$B$15:$B$18,MATCH(A69,الإعدادات!$A$15:$A$18,0)),0),"")</f>
        <v/>
      </c>
      <c r="Y69" s="12" t="str">
        <f aca="false">IF(H69="","",IF(H69&lt;الإعدادات!$B$9,"بيانات غير كافية — انتظر",IF(N69=0,"إيقاف أو إعادة بناء (إنفاق بلا مبيعات)",IF(H69/N69&gt;الإعدادات!$B$8*1.5,"خفض الميزانية + اختبار إبداعات جديدة",IF(O69/H69&gt;=الإعدادات!$B$6*1.2,"توسيع الميزانية تدريجياً",IF(O69/H69&gt;=الإعدادات!$B$7,IF(AND(X69&lt;&gt;"",X69&lt;0),"رابحة — حدّث الإبداعات لرفع CTR","رابحة — حافظ وحسّن"),"تحت التعادل — حسّن الصفحة/العرض أو أوقف"))))))</f>
        <v/>
      </c>
    </row>
    <row r="70" customFormat="false" ht="15" hidden="false" customHeight="false" outlineLevel="0" collapsed="false">
      <c r="A70" s="14"/>
      <c r="B70" s="14"/>
      <c r="C70" s="14"/>
      <c r="D70" s="14"/>
      <c r="E70" s="14"/>
      <c r="F70" s="14"/>
      <c r="G70" s="14"/>
      <c r="H70" s="19"/>
      <c r="I70" s="22"/>
      <c r="J70" s="22"/>
      <c r="K70" s="22"/>
      <c r="L70" s="22"/>
      <c r="M70" s="22"/>
      <c r="N70" s="22"/>
      <c r="O70" s="19"/>
      <c r="P70" s="23" t="str">
        <f aca="false">IF(I70&gt;0,K70/I70,"")</f>
        <v/>
      </c>
      <c r="Q70" s="20" t="str">
        <f aca="false">IF(K70&gt;0,H70/K70,"")</f>
        <v/>
      </c>
      <c r="R70" s="20" t="str">
        <f aca="false">IF(I70&gt;0,H70/I70*1000,"")</f>
        <v/>
      </c>
      <c r="S70" s="23" t="str">
        <f aca="false">IF(K70&gt;0,N70/K70,"")</f>
        <v/>
      </c>
      <c r="T70" s="20" t="str">
        <f aca="false">IF(N70&gt;0,H70/N70,"")</f>
        <v/>
      </c>
      <c r="U70" s="18" t="str">
        <f aca="false">IF(H70&gt;0,O70/H70,"")</f>
        <v/>
      </c>
      <c r="V70" s="20" t="str">
        <f aca="false">IF(N70&gt;0,O70/N70,"")</f>
        <v/>
      </c>
      <c r="W70" s="20" t="str">
        <f aca="false">IF(H70&gt;0,O70*الإعدادات!$B$5-H70,"")</f>
        <v/>
      </c>
      <c r="X70" s="23" t="str">
        <f aca="false">IF(AND(I70&gt;0,A70&lt;&gt;""),P70-IFERROR(INDEX(الإعدادات!$B$15:$B$18,MATCH(A70,الإعدادات!$A$15:$A$18,0)),0),"")</f>
        <v/>
      </c>
      <c r="Y70" s="12" t="str">
        <f aca="false">IF(H70="","",IF(H70&lt;الإعدادات!$B$9,"بيانات غير كافية — انتظر",IF(N70=0,"إيقاف أو إعادة بناء (إنفاق بلا مبيعات)",IF(H70/N70&gt;الإعدادات!$B$8*1.5,"خفض الميزانية + اختبار إبداعات جديدة",IF(O70/H70&gt;=الإعدادات!$B$6*1.2,"توسيع الميزانية تدريجياً",IF(O70/H70&gt;=الإعدادات!$B$7,IF(AND(X70&lt;&gt;"",X70&lt;0),"رابحة — حدّث الإبداعات لرفع CTR","رابحة — حافظ وحسّن"),"تحت التعادل — حسّن الصفحة/العرض أو أوقف"))))))</f>
        <v/>
      </c>
    </row>
    <row r="71" customFormat="false" ht="15" hidden="false" customHeight="false" outlineLevel="0" collapsed="false">
      <c r="A71" s="14"/>
      <c r="B71" s="14"/>
      <c r="C71" s="14"/>
      <c r="D71" s="14"/>
      <c r="E71" s="14"/>
      <c r="F71" s="14"/>
      <c r="G71" s="14"/>
      <c r="H71" s="19"/>
      <c r="I71" s="22"/>
      <c r="J71" s="22"/>
      <c r="K71" s="22"/>
      <c r="L71" s="22"/>
      <c r="M71" s="22"/>
      <c r="N71" s="22"/>
      <c r="O71" s="19"/>
      <c r="P71" s="23" t="str">
        <f aca="false">IF(I71&gt;0,K71/I71,"")</f>
        <v/>
      </c>
      <c r="Q71" s="20" t="str">
        <f aca="false">IF(K71&gt;0,H71/K71,"")</f>
        <v/>
      </c>
      <c r="R71" s="20" t="str">
        <f aca="false">IF(I71&gt;0,H71/I71*1000,"")</f>
        <v/>
      </c>
      <c r="S71" s="23" t="str">
        <f aca="false">IF(K71&gt;0,N71/K71,"")</f>
        <v/>
      </c>
      <c r="T71" s="20" t="str">
        <f aca="false">IF(N71&gt;0,H71/N71,"")</f>
        <v/>
      </c>
      <c r="U71" s="18" t="str">
        <f aca="false">IF(H71&gt;0,O71/H71,"")</f>
        <v/>
      </c>
      <c r="V71" s="20" t="str">
        <f aca="false">IF(N71&gt;0,O71/N71,"")</f>
        <v/>
      </c>
      <c r="W71" s="20" t="str">
        <f aca="false">IF(H71&gt;0,O71*الإعدادات!$B$5-H71,"")</f>
        <v/>
      </c>
      <c r="X71" s="23" t="str">
        <f aca="false">IF(AND(I71&gt;0,A71&lt;&gt;""),P71-IFERROR(INDEX(الإعدادات!$B$15:$B$18,MATCH(A71,الإعدادات!$A$15:$A$18,0)),0),"")</f>
        <v/>
      </c>
      <c r="Y71" s="12" t="str">
        <f aca="false">IF(H71="","",IF(H71&lt;الإعدادات!$B$9,"بيانات غير كافية — انتظر",IF(N71=0,"إيقاف أو إعادة بناء (إنفاق بلا مبيعات)",IF(H71/N71&gt;الإعدادات!$B$8*1.5,"خفض الميزانية + اختبار إبداعات جديدة",IF(O71/H71&gt;=الإعدادات!$B$6*1.2,"توسيع الميزانية تدريجياً",IF(O71/H71&gt;=الإعدادات!$B$7,IF(AND(X71&lt;&gt;"",X71&lt;0),"رابحة — حدّث الإبداعات لرفع CTR","رابحة — حافظ وحسّن"),"تحت التعادل — حسّن الصفحة/العرض أو أوقف"))))))</f>
        <v/>
      </c>
    </row>
    <row r="72" customFormat="false" ht="15" hidden="false" customHeight="false" outlineLevel="0" collapsed="false">
      <c r="A72" s="14"/>
      <c r="B72" s="14"/>
      <c r="C72" s="14"/>
      <c r="D72" s="14"/>
      <c r="E72" s="14"/>
      <c r="F72" s="14"/>
      <c r="G72" s="14"/>
      <c r="H72" s="19"/>
      <c r="I72" s="22"/>
      <c r="J72" s="22"/>
      <c r="K72" s="22"/>
      <c r="L72" s="22"/>
      <c r="M72" s="22"/>
      <c r="N72" s="22"/>
      <c r="O72" s="19"/>
      <c r="P72" s="23" t="str">
        <f aca="false">IF(I72&gt;0,K72/I72,"")</f>
        <v/>
      </c>
      <c r="Q72" s="20" t="str">
        <f aca="false">IF(K72&gt;0,H72/K72,"")</f>
        <v/>
      </c>
      <c r="R72" s="20" t="str">
        <f aca="false">IF(I72&gt;0,H72/I72*1000,"")</f>
        <v/>
      </c>
      <c r="S72" s="23" t="str">
        <f aca="false">IF(K72&gt;0,N72/K72,"")</f>
        <v/>
      </c>
      <c r="T72" s="20" t="str">
        <f aca="false">IF(N72&gt;0,H72/N72,"")</f>
        <v/>
      </c>
      <c r="U72" s="18" t="str">
        <f aca="false">IF(H72&gt;0,O72/H72,"")</f>
        <v/>
      </c>
      <c r="V72" s="20" t="str">
        <f aca="false">IF(N72&gt;0,O72/N72,"")</f>
        <v/>
      </c>
      <c r="W72" s="20" t="str">
        <f aca="false">IF(H72&gt;0,O72*الإعدادات!$B$5-H72,"")</f>
        <v/>
      </c>
      <c r="X72" s="23" t="str">
        <f aca="false">IF(AND(I72&gt;0,A72&lt;&gt;""),P72-IFERROR(INDEX(الإعدادات!$B$15:$B$18,MATCH(A72,الإعدادات!$A$15:$A$18,0)),0),"")</f>
        <v/>
      </c>
      <c r="Y72" s="12" t="str">
        <f aca="false">IF(H72="","",IF(H72&lt;الإعدادات!$B$9,"بيانات غير كافية — انتظر",IF(N72=0,"إيقاف أو إعادة بناء (إنفاق بلا مبيعات)",IF(H72/N72&gt;الإعدادات!$B$8*1.5,"خفض الميزانية + اختبار إبداعات جديدة",IF(O72/H72&gt;=الإعدادات!$B$6*1.2,"توسيع الميزانية تدريجياً",IF(O72/H72&gt;=الإعدادات!$B$7,IF(AND(X72&lt;&gt;"",X72&lt;0),"رابحة — حدّث الإبداعات لرفع CTR","رابحة — حافظ وحسّن"),"تحت التعادل — حسّن الصفحة/العرض أو أوقف"))))))</f>
        <v/>
      </c>
    </row>
    <row r="73" customFormat="false" ht="15" hidden="false" customHeight="false" outlineLevel="0" collapsed="false">
      <c r="A73" s="14"/>
      <c r="B73" s="14"/>
      <c r="C73" s="14"/>
      <c r="D73" s="14"/>
      <c r="E73" s="14"/>
      <c r="F73" s="14"/>
      <c r="G73" s="14"/>
      <c r="H73" s="19"/>
      <c r="I73" s="22"/>
      <c r="J73" s="22"/>
      <c r="K73" s="22"/>
      <c r="L73" s="22"/>
      <c r="M73" s="22"/>
      <c r="N73" s="22"/>
      <c r="O73" s="19"/>
      <c r="P73" s="23" t="str">
        <f aca="false">IF(I73&gt;0,K73/I73,"")</f>
        <v/>
      </c>
      <c r="Q73" s="20" t="str">
        <f aca="false">IF(K73&gt;0,H73/K73,"")</f>
        <v/>
      </c>
      <c r="R73" s="20" t="str">
        <f aca="false">IF(I73&gt;0,H73/I73*1000,"")</f>
        <v/>
      </c>
      <c r="S73" s="23" t="str">
        <f aca="false">IF(K73&gt;0,N73/K73,"")</f>
        <v/>
      </c>
      <c r="T73" s="20" t="str">
        <f aca="false">IF(N73&gt;0,H73/N73,"")</f>
        <v/>
      </c>
      <c r="U73" s="18" t="str">
        <f aca="false">IF(H73&gt;0,O73/H73,"")</f>
        <v/>
      </c>
      <c r="V73" s="20" t="str">
        <f aca="false">IF(N73&gt;0,O73/N73,"")</f>
        <v/>
      </c>
      <c r="W73" s="20" t="str">
        <f aca="false">IF(H73&gt;0,O73*الإعدادات!$B$5-H73,"")</f>
        <v/>
      </c>
      <c r="X73" s="23" t="str">
        <f aca="false">IF(AND(I73&gt;0,A73&lt;&gt;""),P73-IFERROR(INDEX(الإعدادات!$B$15:$B$18,MATCH(A73,الإعدادات!$A$15:$A$18,0)),0),"")</f>
        <v/>
      </c>
      <c r="Y73" s="12" t="str">
        <f aca="false">IF(H73="","",IF(H73&lt;الإعدادات!$B$9,"بيانات غير كافية — انتظر",IF(N73=0,"إيقاف أو إعادة بناء (إنفاق بلا مبيعات)",IF(H73/N73&gt;الإعدادات!$B$8*1.5,"خفض الميزانية + اختبار إبداعات جديدة",IF(O73/H73&gt;=الإعدادات!$B$6*1.2,"توسيع الميزانية تدريجياً",IF(O73/H73&gt;=الإعدادات!$B$7,IF(AND(X73&lt;&gt;"",X73&lt;0),"رابحة — حدّث الإبداعات لرفع CTR","رابحة — حافظ وحسّن"),"تحت التعادل — حسّن الصفحة/العرض أو أوقف"))))))</f>
        <v/>
      </c>
    </row>
    <row r="74" customFormat="false" ht="15" hidden="false" customHeight="false" outlineLevel="0" collapsed="false">
      <c r="A74" s="14"/>
      <c r="B74" s="14"/>
      <c r="C74" s="14"/>
      <c r="D74" s="14"/>
      <c r="E74" s="14"/>
      <c r="F74" s="14"/>
      <c r="G74" s="14"/>
      <c r="H74" s="19"/>
      <c r="I74" s="22"/>
      <c r="J74" s="22"/>
      <c r="K74" s="22"/>
      <c r="L74" s="22"/>
      <c r="M74" s="22"/>
      <c r="N74" s="22"/>
      <c r="O74" s="19"/>
      <c r="P74" s="23" t="str">
        <f aca="false">IF(I74&gt;0,K74/I74,"")</f>
        <v/>
      </c>
      <c r="Q74" s="20" t="str">
        <f aca="false">IF(K74&gt;0,H74/K74,"")</f>
        <v/>
      </c>
      <c r="R74" s="20" t="str">
        <f aca="false">IF(I74&gt;0,H74/I74*1000,"")</f>
        <v/>
      </c>
      <c r="S74" s="23" t="str">
        <f aca="false">IF(K74&gt;0,N74/K74,"")</f>
        <v/>
      </c>
      <c r="T74" s="20" t="str">
        <f aca="false">IF(N74&gt;0,H74/N74,"")</f>
        <v/>
      </c>
      <c r="U74" s="18" t="str">
        <f aca="false">IF(H74&gt;0,O74/H74,"")</f>
        <v/>
      </c>
      <c r="V74" s="20" t="str">
        <f aca="false">IF(N74&gt;0,O74/N74,"")</f>
        <v/>
      </c>
      <c r="W74" s="20" t="str">
        <f aca="false">IF(H74&gt;0,O74*الإعدادات!$B$5-H74,"")</f>
        <v/>
      </c>
      <c r="X74" s="23" t="str">
        <f aca="false">IF(AND(I74&gt;0,A74&lt;&gt;""),P74-IFERROR(INDEX(الإعدادات!$B$15:$B$18,MATCH(A74,الإعدادات!$A$15:$A$18,0)),0),"")</f>
        <v/>
      </c>
      <c r="Y74" s="12" t="str">
        <f aca="false">IF(H74="","",IF(H74&lt;الإعدادات!$B$9,"بيانات غير كافية — انتظر",IF(N74=0,"إيقاف أو إعادة بناء (إنفاق بلا مبيعات)",IF(H74/N74&gt;الإعدادات!$B$8*1.5,"خفض الميزانية + اختبار إبداعات جديدة",IF(O74/H74&gt;=الإعدادات!$B$6*1.2,"توسيع الميزانية تدريجياً",IF(O74/H74&gt;=الإعدادات!$B$7,IF(AND(X74&lt;&gt;"",X74&lt;0),"رابحة — حدّث الإبداعات لرفع CTR","رابحة — حافظ وحسّن"),"تحت التعادل — حسّن الصفحة/العرض أو أوقف"))))))</f>
        <v/>
      </c>
    </row>
    <row r="75" customFormat="false" ht="15" hidden="false" customHeight="false" outlineLevel="0" collapsed="false">
      <c r="A75" s="14"/>
      <c r="B75" s="14"/>
      <c r="C75" s="14"/>
      <c r="D75" s="14"/>
      <c r="E75" s="14"/>
      <c r="F75" s="14"/>
      <c r="G75" s="14"/>
      <c r="H75" s="19"/>
      <c r="I75" s="22"/>
      <c r="J75" s="22"/>
      <c r="K75" s="22"/>
      <c r="L75" s="22"/>
      <c r="M75" s="22"/>
      <c r="N75" s="22"/>
      <c r="O75" s="19"/>
      <c r="P75" s="23" t="str">
        <f aca="false">IF(I75&gt;0,K75/I75,"")</f>
        <v/>
      </c>
      <c r="Q75" s="20" t="str">
        <f aca="false">IF(K75&gt;0,H75/K75,"")</f>
        <v/>
      </c>
      <c r="R75" s="20" t="str">
        <f aca="false">IF(I75&gt;0,H75/I75*1000,"")</f>
        <v/>
      </c>
      <c r="S75" s="23" t="str">
        <f aca="false">IF(K75&gt;0,N75/K75,"")</f>
        <v/>
      </c>
      <c r="T75" s="20" t="str">
        <f aca="false">IF(N75&gt;0,H75/N75,"")</f>
        <v/>
      </c>
      <c r="U75" s="18" t="str">
        <f aca="false">IF(H75&gt;0,O75/H75,"")</f>
        <v/>
      </c>
      <c r="V75" s="20" t="str">
        <f aca="false">IF(N75&gt;0,O75/N75,"")</f>
        <v/>
      </c>
      <c r="W75" s="20" t="str">
        <f aca="false">IF(H75&gt;0,O75*الإعدادات!$B$5-H75,"")</f>
        <v/>
      </c>
      <c r="X75" s="23" t="str">
        <f aca="false">IF(AND(I75&gt;0,A75&lt;&gt;""),P75-IFERROR(INDEX(الإعدادات!$B$15:$B$18,MATCH(A75,الإعدادات!$A$15:$A$18,0)),0),"")</f>
        <v/>
      </c>
      <c r="Y75" s="12" t="str">
        <f aca="false">IF(H75="","",IF(H75&lt;الإعدادات!$B$9,"بيانات غير كافية — انتظر",IF(N75=0,"إيقاف أو إعادة بناء (إنفاق بلا مبيعات)",IF(H75/N75&gt;الإعدادات!$B$8*1.5,"خفض الميزانية + اختبار إبداعات جديدة",IF(O75/H75&gt;=الإعدادات!$B$6*1.2,"توسيع الميزانية تدريجياً",IF(O75/H75&gt;=الإعدادات!$B$7,IF(AND(X75&lt;&gt;"",X75&lt;0),"رابحة — حدّث الإبداعات لرفع CTR","رابحة — حافظ وحسّن"),"تحت التعادل — حسّن الصفحة/العرض أو أوقف"))))))</f>
        <v/>
      </c>
    </row>
    <row r="76" customFormat="false" ht="15" hidden="false" customHeight="false" outlineLevel="0" collapsed="false">
      <c r="A76" s="14"/>
      <c r="B76" s="14"/>
      <c r="C76" s="14"/>
      <c r="D76" s="14"/>
      <c r="E76" s="14"/>
      <c r="F76" s="14"/>
      <c r="G76" s="14"/>
      <c r="H76" s="19"/>
      <c r="I76" s="22"/>
      <c r="J76" s="22"/>
      <c r="K76" s="22"/>
      <c r="L76" s="22"/>
      <c r="M76" s="22"/>
      <c r="N76" s="22"/>
      <c r="O76" s="19"/>
      <c r="P76" s="23" t="str">
        <f aca="false">IF(I76&gt;0,K76/I76,"")</f>
        <v/>
      </c>
      <c r="Q76" s="20" t="str">
        <f aca="false">IF(K76&gt;0,H76/K76,"")</f>
        <v/>
      </c>
      <c r="R76" s="20" t="str">
        <f aca="false">IF(I76&gt;0,H76/I76*1000,"")</f>
        <v/>
      </c>
      <c r="S76" s="23" t="str">
        <f aca="false">IF(K76&gt;0,N76/K76,"")</f>
        <v/>
      </c>
      <c r="T76" s="20" t="str">
        <f aca="false">IF(N76&gt;0,H76/N76,"")</f>
        <v/>
      </c>
      <c r="U76" s="18" t="str">
        <f aca="false">IF(H76&gt;0,O76/H76,"")</f>
        <v/>
      </c>
      <c r="V76" s="20" t="str">
        <f aca="false">IF(N76&gt;0,O76/N76,"")</f>
        <v/>
      </c>
      <c r="W76" s="20" t="str">
        <f aca="false">IF(H76&gt;0,O76*الإعدادات!$B$5-H76,"")</f>
        <v/>
      </c>
      <c r="X76" s="23" t="str">
        <f aca="false">IF(AND(I76&gt;0,A76&lt;&gt;""),P76-IFERROR(INDEX(الإعدادات!$B$15:$B$18,MATCH(A76,الإعدادات!$A$15:$A$18,0)),0),"")</f>
        <v/>
      </c>
      <c r="Y76" s="12" t="str">
        <f aca="false">IF(H76="","",IF(H76&lt;الإعدادات!$B$9,"بيانات غير كافية — انتظر",IF(N76=0,"إيقاف أو إعادة بناء (إنفاق بلا مبيعات)",IF(H76/N76&gt;الإعدادات!$B$8*1.5,"خفض الميزانية + اختبار إبداعات جديدة",IF(O76/H76&gt;=الإعدادات!$B$6*1.2,"توسيع الميزانية تدريجياً",IF(O76/H76&gt;=الإعدادات!$B$7,IF(AND(X76&lt;&gt;"",X76&lt;0),"رابحة — حدّث الإبداعات لرفع CTR","رابحة — حافظ وحسّن"),"تحت التعادل — حسّن الصفحة/العرض أو أوقف"))))))</f>
        <v/>
      </c>
    </row>
    <row r="77" customFormat="false" ht="15" hidden="false" customHeight="false" outlineLevel="0" collapsed="false">
      <c r="A77" s="14"/>
      <c r="B77" s="14"/>
      <c r="C77" s="14"/>
      <c r="D77" s="14"/>
      <c r="E77" s="14"/>
      <c r="F77" s="14"/>
      <c r="G77" s="14"/>
      <c r="H77" s="19"/>
      <c r="I77" s="22"/>
      <c r="J77" s="22"/>
      <c r="K77" s="22"/>
      <c r="L77" s="22"/>
      <c r="M77" s="22"/>
      <c r="N77" s="22"/>
      <c r="O77" s="19"/>
      <c r="P77" s="23" t="str">
        <f aca="false">IF(I77&gt;0,K77/I77,"")</f>
        <v/>
      </c>
      <c r="Q77" s="20" t="str">
        <f aca="false">IF(K77&gt;0,H77/K77,"")</f>
        <v/>
      </c>
      <c r="R77" s="20" t="str">
        <f aca="false">IF(I77&gt;0,H77/I77*1000,"")</f>
        <v/>
      </c>
      <c r="S77" s="23" t="str">
        <f aca="false">IF(K77&gt;0,N77/K77,"")</f>
        <v/>
      </c>
      <c r="T77" s="20" t="str">
        <f aca="false">IF(N77&gt;0,H77/N77,"")</f>
        <v/>
      </c>
      <c r="U77" s="18" t="str">
        <f aca="false">IF(H77&gt;0,O77/H77,"")</f>
        <v/>
      </c>
      <c r="V77" s="20" t="str">
        <f aca="false">IF(N77&gt;0,O77/N77,"")</f>
        <v/>
      </c>
      <c r="W77" s="20" t="str">
        <f aca="false">IF(H77&gt;0,O77*الإعدادات!$B$5-H77,"")</f>
        <v/>
      </c>
      <c r="X77" s="23" t="str">
        <f aca="false">IF(AND(I77&gt;0,A77&lt;&gt;""),P77-IFERROR(INDEX(الإعدادات!$B$15:$B$18,MATCH(A77,الإعدادات!$A$15:$A$18,0)),0),"")</f>
        <v/>
      </c>
      <c r="Y77" s="12" t="str">
        <f aca="false">IF(H77="","",IF(H77&lt;الإعدادات!$B$9,"بيانات غير كافية — انتظر",IF(N77=0,"إيقاف أو إعادة بناء (إنفاق بلا مبيعات)",IF(H77/N77&gt;الإعدادات!$B$8*1.5,"خفض الميزانية + اختبار إبداعات جديدة",IF(O77/H77&gt;=الإعدادات!$B$6*1.2,"توسيع الميزانية تدريجياً",IF(O77/H77&gt;=الإعدادات!$B$7,IF(AND(X77&lt;&gt;"",X77&lt;0),"رابحة — حدّث الإبداعات لرفع CTR","رابحة — حافظ وحسّن"),"تحت التعادل — حسّن الصفحة/العرض أو أوقف"))))))</f>
        <v/>
      </c>
    </row>
    <row r="78" customFormat="false" ht="15" hidden="false" customHeight="false" outlineLevel="0" collapsed="false">
      <c r="A78" s="14"/>
      <c r="B78" s="14"/>
      <c r="C78" s="14"/>
      <c r="D78" s="14"/>
      <c r="E78" s="14"/>
      <c r="F78" s="14"/>
      <c r="G78" s="14"/>
      <c r="H78" s="19"/>
      <c r="I78" s="22"/>
      <c r="J78" s="22"/>
      <c r="K78" s="22"/>
      <c r="L78" s="22"/>
      <c r="M78" s="22"/>
      <c r="N78" s="22"/>
      <c r="O78" s="19"/>
      <c r="P78" s="23" t="str">
        <f aca="false">IF(I78&gt;0,K78/I78,"")</f>
        <v/>
      </c>
      <c r="Q78" s="20" t="str">
        <f aca="false">IF(K78&gt;0,H78/K78,"")</f>
        <v/>
      </c>
      <c r="R78" s="20" t="str">
        <f aca="false">IF(I78&gt;0,H78/I78*1000,"")</f>
        <v/>
      </c>
      <c r="S78" s="23" t="str">
        <f aca="false">IF(K78&gt;0,N78/K78,"")</f>
        <v/>
      </c>
      <c r="T78" s="20" t="str">
        <f aca="false">IF(N78&gt;0,H78/N78,"")</f>
        <v/>
      </c>
      <c r="U78" s="18" t="str">
        <f aca="false">IF(H78&gt;0,O78/H78,"")</f>
        <v/>
      </c>
      <c r="V78" s="20" t="str">
        <f aca="false">IF(N78&gt;0,O78/N78,"")</f>
        <v/>
      </c>
      <c r="W78" s="20" t="str">
        <f aca="false">IF(H78&gt;0,O78*الإعدادات!$B$5-H78,"")</f>
        <v/>
      </c>
      <c r="X78" s="23" t="str">
        <f aca="false">IF(AND(I78&gt;0,A78&lt;&gt;""),P78-IFERROR(INDEX(الإعدادات!$B$15:$B$18,MATCH(A78,الإعدادات!$A$15:$A$18,0)),0),"")</f>
        <v/>
      </c>
      <c r="Y78" s="12" t="str">
        <f aca="false">IF(H78="","",IF(H78&lt;الإعدادات!$B$9,"بيانات غير كافية — انتظر",IF(N78=0,"إيقاف أو إعادة بناء (إنفاق بلا مبيعات)",IF(H78/N78&gt;الإعدادات!$B$8*1.5,"خفض الميزانية + اختبار إبداعات جديدة",IF(O78/H78&gt;=الإعدادات!$B$6*1.2,"توسيع الميزانية تدريجياً",IF(O78/H78&gt;=الإعدادات!$B$7,IF(AND(X78&lt;&gt;"",X78&lt;0),"رابحة — حدّث الإبداعات لرفع CTR","رابحة — حافظ وحسّن"),"تحت التعادل — حسّن الصفحة/العرض أو أوقف"))))))</f>
        <v/>
      </c>
    </row>
    <row r="79" customFormat="false" ht="15" hidden="false" customHeight="false" outlineLevel="0" collapsed="false">
      <c r="A79" s="14"/>
      <c r="B79" s="14"/>
      <c r="C79" s="14"/>
      <c r="D79" s="14"/>
      <c r="E79" s="14"/>
      <c r="F79" s="14"/>
      <c r="G79" s="14"/>
      <c r="H79" s="19"/>
      <c r="I79" s="22"/>
      <c r="J79" s="22"/>
      <c r="K79" s="22"/>
      <c r="L79" s="22"/>
      <c r="M79" s="22"/>
      <c r="N79" s="22"/>
      <c r="O79" s="19"/>
      <c r="P79" s="23" t="str">
        <f aca="false">IF(I79&gt;0,K79/I79,"")</f>
        <v/>
      </c>
      <c r="Q79" s="20" t="str">
        <f aca="false">IF(K79&gt;0,H79/K79,"")</f>
        <v/>
      </c>
      <c r="R79" s="20" t="str">
        <f aca="false">IF(I79&gt;0,H79/I79*1000,"")</f>
        <v/>
      </c>
      <c r="S79" s="23" t="str">
        <f aca="false">IF(K79&gt;0,N79/K79,"")</f>
        <v/>
      </c>
      <c r="T79" s="20" t="str">
        <f aca="false">IF(N79&gt;0,H79/N79,"")</f>
        <v/>
      </c>
      <c r="U79" s="18" t="str">
        <f aca="false">IF(H79&gt;0,O79/H79,"")</f>
        <v/>
      </c>
      <c r="V79" s="20" t="str">
        <f aca="false">IF(N79&gt;0,O79/N79,"")</f>
        <v/>
      </c>
      <c r="W79" s="20" t="str">
        <f aca="false">IF(H79&gt;0,O79*الإعدادات!$B$5-H79,"")</f>
        <v/>
      </c>
      <c r="X79" s="23" t="str">
        <f aca="false">IF(AND(I79&gt;0,A79&lt;&gt;""),P79-IFERROR(INDEX(الإعدادات!$B$15:$B$18,MATCH(A79,الإعدادات!$A$15:$A$18,0)),0),"")</f>
        <v/>
      </c>
      <c r="Y79" s="12" t="str">
        <f aca="false">IF(H79="","",IF(H79&lt;الإعدادات!$B$9,"بيانات غير كافية — انتظر",IF(N79=0,"إيقاف أو إعادة بناء (إنفاق بلا مبيعات)",IF(H79/N79&gt;الإعدادات!$B$8*1.5,"خفض الميزانية + اختبار إبداعات جديدة",IF(O79/H79&gt;=الإعدادات!$B$6*1.2,"توسيع الميزانية تدريجياً",IF(O79/H79&gt;=الإعدادات!$B$7,IF(AND(X79&lt;&gt;"",X79&lt;0),"رابحة — حدّث الإبداعات لرفع CTR","رابحة — حافظ وحسّن"),"تحت التعادل — حسّن الصفحة/العرض أو أوقف"))))))</f>
        <v/>
      </c>
    </row>
    <row r="80" customFormat="false" ht="15" hidden="false" customHeight="false" outlineLevel="0" collapsed="false">
      <c r="A80" s="14"/>
      <c r="B80" s="14"/>
      <c r="C80" s="14"/>
      <c r="D80" s="14"/>
      <c r="E80" s="14"/>
      <c r="F80" s="14"/>
      <c r="G80" s="14"/>
      <c r="H80" s="19"/>
      <c r="I80" s="22"/>
      <c r="J80" s="22"/>
      <c r="K80" s="22"/>
      <c r="L80" s="22"/>
      <c r="M80" s="22"/>
      <c r="N80" s="22"/>
      <c r="O80" s="19"/>
      <c r="P80" s="23" t="str">
        <f aca="false">IF(I80&gt;0,K80/I80,"")</f>
        <v/>
      </c>
      <c r="Q80" s="20" t="str">
        <f aca="false">IF(K80&gt;0,H80/K80,"")</f>
        <v/>
      </c>
      <c r="R80" s="20" t="str">
        <f aca="false">IF(I80&gt;0,H80/I80*1000,"")</f>
        <v/>
      </c>
      <c r="S80" s="23" t="str">
        <f aca="false">IF(K80&gt;0,N80/K80,"")</f>
        <v/>
      </c>
      <c r="T80" s="20" t="str">
        <f aca="false">IF(N80&gt;0,H80/N80,"")</f>
        <v/>
      </c>
      <c r="U80" s="18" t="str">
        <f aca="false">IF(H80&gt;0,O80/H80,"")</f>
        <v/>
      </c>
      <c r="V80" s="20" t="str">
        <f aca="false">IF(N80&gt;0,O80/N80,"")</f>
        <v/>
      </c>
      <c r="W80" s="20" t="str">
        <f aca="false">IF(H80&gt;0,O80*الإعدادات!$B$5-H80,"")</f>
        <v/>
      </c>
      <c r="X80" s="23" t="str">
        <f aca="false">IF(AND(I80&gt;0,A80&lt;&gt;""),P80-IFERROR(INDEX(الإعدادات!$B$15:$B$18,MATCH(A80,الإعدادات!$A$15:$A$18,0)),0),"")</f>
        <v/>
      </c>
      <c r="Y80" s="12" t="str">
        <f aca="false">IF(H80="","",IF(H80&lt;الإعدادات!$B$9,"بيانات غير كافية — انتظر",IF(N80=0,"إيقاف أو إعادة بناء (إنفاق بلا مبيعات)",IF(H80/N80&gt;الإعدادات!$B$8*1.5,"خفض الميزانية + اختبار إبداعات جديدة",IF(O80/H80&gt;=الإعدادات!$B$6*1.2,"توسيع الميزانية تدريجياً",IF(O80/H80&gt;=الإعدادات!$B$7,IF(AND(X80&lt;&gt;"",X80&lt;0),"رابحة — حدّث الإبداعات لرفع CTR","رابحة — حافظ وحسّن"),"تحت التعادل — حسّن الصفحة/العرض أو أوقف"))))))</f>
        <v/>
      </c>
    </row>
    <row r="81" customFormat="false" ht="15" hidden="false" customHeight="false" outlineLevel="0" collapsed="false">
      <c r="A81" s="14"/>
      <c r="B81" s="14"/>
      <c r="C81" s="14"/>
      <c r="D81" s="14"/>
      <c r="E81" s="14"/>
      <c r="F81" s="14"/>
      <c r="G81" s="14"/>
      <c r="H81" s="19"/>
      <c r="I81" s="22"/>
      <c r="J81" s="22"/>
      <c r="K81" s="22"/>
      <c r="L81" s="22"/>
      <c r="M81" s="22"/>
      <c r="N81" s="22"/>
      <c r="O81" s="19"/>
      <c r="P81" s="23" t="str">
        <f aca="false">IF(I81&gt;0,K81/I81,"")</f>
        <v/>
      </c>
      <c r="Q81" s="20" t="str">
        <f aca="false">IF(K81&gt;0,H81/K81,"")</f>
        <v/>
      </c>
      <c r="R81" s="20" t="str">
        <f aca="false">IF(I81&gt;0,H81/I81*1000,"")</f>
        <v/>
      </c>
      <c r="S81" s="23" t="str">
        <f aca="false">IF(K81&gt;0,N81/K81,"")</f>
        <v/>
      </c>
      <c r="T81" s="20" t="str">
        <f aca="false">IF(N81&gt;0,H81/N81,"")</f>
        <v/>
      </c>
      <c r="U81" s="18" t="str">
        <f aca="false">IF(H81&gt;0,O81/H81,"")</f>
        <v/>
      </c>
      <c r="V81" s="20" t="str">
        <f aca="false">IF(N81&gt;0,O81/N81,"")</f>
        <v/>
      </c>
      <c r="W81" s="20" t="str">
        <f aca="false">IF(H81&gt;0,O81*الإعدادات!$B$5-H81,"")</f>
        <v/>
      </c>
      <c r="X81" s="23" t="str">
        <f aca="false">IF(AND(I81&gt;0,A81&lt;&gt;""),P81-IFERROR(INDEX(الإعدادات!$B$15:$B$18,MATCH(A81,الإعدادات!$A$15:$A$18,0)),0),"")</f>
        <v/>
      </c>
      <c r="Y81" s="12" t="str">
        <f aca="false">IF(H81="","",IF(H81&lt;الإعدادات!$B$9,"بيانات غير كافية — انتظر",IF(N81=0,"إيقاف أو إعادة بناء (إنفاق بلا مبيعات)",IF(H81/N81&gt;الإعدادات!$B$8*1.5,"خفض الميزانية + اختبار إبداعات جديدة",IF(O81/H81&gt;=الإعدادات!$B$6*1.2,"توسيع الميزانية تدريجياً",IF(O81/H81&gt;=الإعدادات!$B$7,IF(AND(X81&lt;&gt;"",X81&lt;0),"رابحة — حدّث الإبداعات لرفع CTR","رابحة — حافظ وحسّن"),"تحت التعادل — حسّن الصفحة/العرض أو أوقف"))))))</f>
        <v/>
      </c>
    </row>
    <row r="82" customFormat="false" ht="15" hidden="false" customHeight="false" outlineLevel="0" collapsed="false">
      <c r="A82" s="14"/>
      <c r="B82" s="14"/>
      <c r="C82" s="14"/>
      <c r="D82" s="14"/>
      <c r="E82" s="14"/>
      <c r="F82" s="14"/>
      <c r="G82" s="14"/>
      <c r="H82" s="19"/>
      <c r="I82" s="22"/>
      <c r="J82" s="22"/>
      <c r="K82" s="22"/>
      <c r="L82" s="22"/>
      <c r="M82" s="22"/>
      <c r="N82" s="22"/>
      <c r="O82" s="19"/>
      <c r="P82" s="23" t="str">
        <f aca="false">IF(I82&gt;0,K82/I82,"")</f>
        <v/>
      </c>
      <c r="Q82" s="20" t="str">
        <f aca="false">IF(K82&gt;0,H82/K82,"")</f>
        <v/>
      </c>
      <c r="R82" s="20" t="str">
        <f aca="false">IF(I82&gt;0,H82/I82*1000,"")</f>
        <v/>
      </c>
      <c r="S82" s="23" t="str">
        <f aca="false">IF(K82&gt;0,N82/K82,"")</f>
        <v/>
      </c>
      <c r="T82" s="20" t="str">
        <f aca="false">IF(N82&gt;0,H82/N82,"")</f>
        <v/>
      </c>
      <c r="U82" s="18" t="str">
        <f aca="false">IF(H82&gt;0,O82/H82,"")</f>
        <v/>
      </c>
      <c r="V82" s="20" t="str">
        <f aca="false">IF(N82&gt;0,O82/N82,"")</f>
        <v/>
      </c>
      <c r="W82" s="20" t="str">
        <f aca="false">IF(H82&gt;0,O82*الإعدادات!$B$5-H82,"")</f>
        <v/>
      </c>
      <c r="X82" s="23" t="str">
        <f aca="false">IF(AND(I82&gt;0,A82&lt;&gt;""),P82-IFERROR(INDEX(الإعدادات!$B$15:$B$18,MATCH(A82,الإعدادات!$A$15:$A$18,0)),0),"")</f>
        <v/>
      </c>
      <c r="Y82" s="12" t="str">
        <f aca="false">IF(H82="","",IF(H82&lt;الإعدادات!$B$9,"بيانات غير كافية — انتظر",IF(N82=0,"إيقاف أو إعادة بناء (إنفاق بلا مبيعات)",IF(H82/N82&gt;الإعدادات!$B$8*1.5,"خفض الميزانية + اختبار إبداعات جديدة",IF(O82/H82&gt;=الإعدادات!$B$6*1.2,"توسيع الميزانية تدريجياً",IF(O82/H82&gt;=الإعدادات!$B$7,IF(AND(X82&lt;&gt;"",X82&lt;0),"رابحة — حدّث الإبداعات لرفع CTR","رابحة — حافظ وحسّن"),"تحت التعادل — حسّن الصفحة/العرض أو أوقف"))))))</f>
        <v/>
      </c>
    </row>
    <row r="83" customFormat="false" ht="15" hidden="false" customHeight="false" outlineLevel="0" collapsed="false">
      <c r="A83" s="14"/>
      <c r="B83" s="14"/>
      <c r="C83" s="14"/>
      <c r="D83" s="14"/>
      <c r="E83" s="14"/>
      <c r="F83" s="14"/>
      <c r="G83" s="14"/>
      <c r="H83" s="19"/>
      <c r="I83" s="22"/>
      <c r="J83" s="22"/>
      <c r="K83" s="22"/>
      <c r="L83" s="22"/>
      <c r="M83" s="22"/>
      <c r="N83" s="22"/>
      <c r="O83" s="19"/>
      <c r="P83" s="23" t="str">
        <f aca="false">IF(I83&gt;0,K83/I83,"")</f>
        <v/>
      </c>
      <c r="Q83" s="20" t="str">
        <f aca="false">IF(K83&gt;0,H83/K83,"")</f>
        <v/>
      </c>
      <c r="R83" s="20" t="str">
        <f aca="false">IF(I83&gt;0,H83/I83*1000,"")</f>
        <v/>
      </c>
      <c r="S83" s="23" t="str">
        <f aca="false">IF(K83&gt;0,N83/K83,"")</f>
        <v/>
      </c>
      <c r="T83" s="20" t="str">
        <f aca="false">IF(N83&gt;0,H83/N83,"")</f>
        <v/>
      </c>
      <c r="U83" s="18" t="str">
        <f aca="false">IF(H83&gt;0,O83/H83,"")</f>
        <v/>
      </c>
      <c r="V83" s="20" t="str">
        <f aca="false">IF(N83&gt;0,O83/N83,"")</f>
        <v/>
      </c>
      <c r="W83" s="20" t="str">
        <f aca="false">IF(H83&gt;0,O83*الإعدادات!$B$5-H83,"")</f>
        <v/>
      </c>
      <c r="X83" s="23" t="str">
        <f aca="false">IF(AND(I83&gt;0,A83&lt;&gt;""),P83-IFERROR(INDEX(الإعدادات!$B$15:$B$18,MATCH(A83,الإعدادات!$A$15:$A$18,0)),0),"")</f>
        <v/>
      </c>
      <c r="Y83" s="12" t="str">
        <f aca="false">IF(H83="","",IF(H83&lt;الإعدادات!$B$9,"بيانات غير كافية — انتظر",IF(N83=0,"إيقاف أو إعادة بناء (إنفاق بلا مبيعات)",IF(H83/N83&gt;الإعدادات!$B$8*1.5,"خفض الميزانية + اختبار إبداعات جديدة",IF(O83/H83&gt;=الإعدادات!$B$6*1.2,"توسيع الميزانية تدريجياً",IF(O83/H83&gt;=الإعدادات!$B$7,IF(AND(X83&lt;&gt;"",X83&lt;0),"رابحة — حدّث الإبداعات لرفع CTR","رابحة — حافظ وحسّن"),"تحت التعادل — حسّن الصفحة/العرض أو أوقف"))))))</f>
        <v/>
      </c>
    </row>
    <row r="84" customFormat="false" ht="15" hidden="false" customHeight="false" outlineLevel="0" collapsed="false">
      <c r="A84" s="14"/>
      <c r="B84" s="14"/>
      <c r="C84" s="14"/>
      <c r="D84" s="14"/>
      <c r="E84" s="14"/>
      <c r="F84" s="14"/>
      <c r="G84" s="14"/>
      <c r="H84" s="19"/>
      <c r="I84" s="22"/>
      <c r="J84" s="22"/>
      <c r="K84" s="22"/>
      <c r="L84" s="22"/>
      <c r="M84" s="22"/>
      <c r="N84" s="22"/>
      <c r="O84" s="19"/>
      <c r="P84" s="23" t="str">
        <f aca="false">IF(I84&gt;0,K84/I84,"")</f>
        <v/>
      </c>
      <c r="Q84" s="20" t="str">
        <f aca="false">IF(K84&gt;0,H84/K84,"")</f>
        <v/>
      </c>
      <c r="R84" s="20" t="str">
        <f aca="false">IF(I84&gt;0,H84/I84*1000,"")</f>
        <v/>
      </c>
      <c r="S84" s="23" t="str">
        <f aca="false">IF(K84&gt;0,N84/K84,"")</f>
        <v/>
      </c>
      <c r="T84" s="20" t="str">
        <f aca="false">IF(N84&gt;0,H84/N84,"")</f>
        <v/>
      </c>
      <c r="U84" s="18" t="str">
        <f aca="false">IF(H84&gt;0,O84/H84,"")</f>
        <v/>
      </c>
      <c r="V84" s="20" t="str">
        <f aca="false">IF(N84&gt;0,O84/N84,"")</f>
        <v/>
      </c>
      <c r="W84" s="20" t="str">
        <f aca="false">IF(H84&gt;0,O84*الإعدادات!$B$5-H84,"")</f>
        <v/>
      </c>
      <c r="X84" s="23" t="str">
        <f aca="false">IF(AND(I84&gt;0,A84&lt;&gt;""),P84-IFERROR(INDEX(الإعدادات!$B$15:$B$18,MATCH(A84,الإعدادات!$A$15:$A$18,0)),0),"")</f>
        <v/>
      </c>
      <c r="Y84" s="12" t="str">
        <f aca="false">IF(H84="","",IF(H84&lt;الإعدادات!$B$9,"بيانات غير كافية — انتظر",IF(N84=0,"إيقاف أو إعادة بناء (إنفاق بلا مبيعات)",IF(H84/N84&gt;الإعدادات!$B$8*1.5,"خفض الميزانية + اختبار إبداعات جديدة",IF(O84/H84&gt;=الإعدادات!$B$6*1.2,"توسيع الميزانية تدريجياً",IF(O84/H84&gt;=الإعدادات!$B$7,IF(AND(X84&lt;&gt;"",X84&lt;0),"رابحة — حدّث الإبداعات لرفع CTR","رابحة — حافظ وحسّن"),"تحت التعادل — حسّن الصفحة/العرض أو أوقف"))))))</f>
        <v/>
      </c>
    </row>
    <row r="85" customFormat="false" ht="15" hidden="false" customHeight="false" outlineLevel="0" collapsed="false">
      <c r="A85" s="14"/>
      <c r="B85" s="14"/>
      <c r="C85" s="14"/>
      <c r="D85" s="14"/>
      <c r="E85" s="14"/>
      <c r="F85" s="14"/>
      <c r="G85" s="14"/>
      <c r="H85" s="19"/>
      <c r="I85" s="22"/>
      <c r="J85" s="22"/>
      <c r="K85" s="22"/>
      <c r="L85" s="22"/>
      <c r="M85" s="22"/>
      <c r="N85" s="22"/>
      <c r="O85" s="19"/>
      <c r="P85" s="23" t="str">
        <f aca="false">IF(I85&gt;0,K85/I85,"")</f>
        <v/>
      </c>
      <c r="Q85" s="20" t="str">
        <f aca="false">IF(K85&gt;0,H85/K85,"")</f>
        <v/>
      </c>
      <c r="R85" s="20" t="str">
        <f aca="false">IF(I85&gt;0,H85/I85*1000,"")</f>
        <v/>
      </c>
      <c r="S85" s="23" t="str">
        <f aca="false">IF(K85&gt;0,N85/K85,"")</f>
        <v/>
      </c>
      <c r="T85" s="20" t="str">
        <f aca="false">IF(N85&gt;0,H85/N85,"")</f>
        <v/>
      </c>
      <c r="U85" s="18" t="str">
        <f aca="false">IF(H85&gt;0,O85/H85,"")</f>
        <v/>
      </c>
      <c r="V85" s="20" t="str">
        <f aca="false">IF(N85&gt;0,O85/N85,"")</f>
        <v/>
      </c>
      <c r="W85" s="20" t="str">
        <f aca="false">IF(H85&gt;0,O85*الإعدادات!$B$5-H85,"")</f>
        <v/>
      </c>
      <c r="X85" s="23" t="str">
        <f aca="false">IF(AND(I85&gt;0,A85&lt;&gt;""),P85-IFERROR(INDEX(الإعدادات!$B$15:$B$18,MATCH(A85,الإعدادات!$A$15:$A$18,0)),0),"")</f>
        <v/>
      </c>
      <c r="Y85" s="12" t="str">
        <f aca="false">IF(H85="","",IF(H85&lt;الإعدادات!$B$9,"بيانات غير كافية — انتظر",IF(N85=0,"إيقاف أو إعادة بناء (إنفاق بلا مبيعات)",IF(H85/N85&gt;الإعدادات!$B$8*1.5,"خفض الميزانية + اختبار إبداعات جديدة",IF(O85/H85&gt;=الإعدادات!$B$6*1.2,"توسيع الميزانية تدريجياً",IF(O85/H85&gt;=الإعدادات!$B$7,IF(AND(X85&lt;&gt;"",X85&lt;0),"رابحة — حدّث الإبداعات لرفع CTR","رابحة — حافظ وحسّن"),"تحت التعادل — حسّن الصفحة/العرض أو أوقف"))))))</f>
        <v/>
      </c>
    </row>
    <row r="86" customFormat="false" ht="15" hidden="false" customHeight="false" outlineLevel="0" collapsed="false">
      <c r="A86" s="14"/>
      <c r="B86" s="14"/>
      <c r="C86" s="14"/>
      <c r="D86" s="14"/>
      <c r="E86" s="14"/>
      <c r="F86" s="14"/>
      <c r="G86" s="14"/>
      <c r="H86" s="19"/>
      <c r="I86" s="22"/>
      <c r="J86" s="22"/>
      <c r="K86" s="22"/>
      <c r="L86" s="22"/>
      <c r="M86" s="22"/>
      <c r="N86" s="22"/>
      <c r="O86" s="19"/>
      <c r="P86" s="23" t="str">
        <f aca="false">IF(I86&gt;0,K86/I86,"")</f>
        <v/>
      </c>
      <c r="Q86" s="20" t="str">
        <f aca="false">IF(K86&gt;0,H86/K86,"")</f>
        <v/>
      </c>
      <c r="R86" s="20" t="str">
        <f aca="false">IF(I86&gt;0,H86/I86*1000,"")</f>
        <v/>
      </c>
      <c r="S86" s="23" t="str">
        <f aca="false">IF(K86&gt;0,N86/K86,"")</f>
        <v/>
      </c>
      <c r="T86" s="20" t="str">
        <f aca="false">IF(N86&gt;0,H86/N86,"")</f>
        <v/>
      </c>
      <c r="U86" s="18" t="str">
        <f aca="false">IF(H86&gt;0,O86/H86,"")</f>
        <v/>
      </c>
      <c r="V86" s="20" t="str">
        <f aca="false">IF(N86&gt;0,O86/N86,"")</f>
        <v/>
      </c>
      <c r="W86" s="20" t="str">
        <f aca="false">IF(H86&gt;0,O86*الإعدادات!$B$5-H86,"")</f>
        <v/>
      </c>
      <c r="X86" s="23" t="str">
        <f aca="false">IF(AND(I86&gt;0,A86&lt;&gt;""),P86-IFERROR(INDEX(الإعدادات!$B$15:$B$18,MATCH(A86,الإعدادات!$A$15:$A$18,0)),0),"")</f>
        <v/>
      </c>
      <c r="Y86" s="12" t="str">
        <f aca="false">IF(H86="","",IF(H86&lt;الإعدادات!$B$9,"بيانات غير كافية — انتظر",IF(N86=0,"إيقاف أو إعادة بناء (إنفاق بلا مبيعات)",IF(H86/N86&gt;الإعدادات!$B$8*1.5,"خفض الميزانية + اختبار إبداعات جديدة",IF(O86/H86&gt;=الإعدادات!$B$6*1.2,"توسيع الميزانية تدريجياً",IF(O86/H86&gt;=الإعدادات!$B$7,IF(AND(X86&lt;&gt;"",X86&lt;0),"رابحة — حدّث الإبداعات لرفع CTR","رابحة — حافظ وحسّن"),"تحت التعادل — حسّن الصفحة/العرض أو أوقف"))))))</f>
        <v/>
      </c>
    </row>
    <row r="87" customFormat="false" ht="15" hidden="false" customHeight="false" outlineLevel="0" collapsed="false">
      <c r="A87" s="14"/>
      <c r="B87" s="14"/>
      <c r="C87" s="14"/>
      <c r="D87" s="14"/>
      <c r="E87" s="14"/>
      <c r="F87" s="14"/>
      <c r="G87" s="14"/>
      <c r="H87" s="19"/>
      <c r="I87" s="22"/>
      <c r="J87" s="22"/>
      <c r="K87" s="22"/>
      <c r="L87" s="22"/>
      <c r="M87" s="22"/>
      <c r="N87" s="22"/>
      <c r="O87" s="19"/>
      <c r="P87" s="23" t="str">
        <f aca="false">IF(I87&gt;0,K87/I87,"")</f>
        <v/>
      </c>
      <c r="Q87" s="20" t="str">
        <f aca="false">IF(K87&gt;0,H87/K87,"")</f>
        <v/>
      </c>
      <c r="R87" s="20" t="str">
        <f aca="false">IF(I87&gt;0,H87/I87*1000,"")</f>
        <v/>
      </c>
      <c r="S87" s="23" t="str">
        <f aca="false">IF(K87&gt;0,N87/K87,"")</f>
        <v/>
      </c>
      <c r="T87" s="20" t="str">
        <f aca="false">IF(N87&gt;0,H87/N87,"")</f>
        <v/>
      </c>
      <c r="U87" s="18" t="str">
        <f aca="false">IF(H87&gt;0,O87/H87,"")</f>
        <v/>
      </c>
      <c r="V87" s="20" t="str">
        <f aca="false">IF(N87&gt;0,O87/N87,"")</f>
        <v/>
      </c>
      <c r="W87" s="20" t="str">
        <f aca="false">IF(H87&gt;0,O87*الإعدادات!$B$5-H87,"")</f>
        <v/>
      </c>
      <c r="X87" s="23" t="str">
        <f aca="false">IF(AND(I87&gt;0,A87&lt;&gt;""),P87-IFERROR(INDEX(الإعدادات!$B$15:$B$18,MATCH(A87,الإعدادات!$A$15:$A$18,0)),0),"")</f>
        <v/>
      </c>
      <c r="Y87" s="12" t="str">
        <f aca="false">IF(H87="","",IF(H87&lt;الإعدادات!$B$9,"بيانات غير كافية — انتظر",IF(N87=0,"إيقاف أو إعادة بناء (إنفاق بلا مبيعات)",IF(H87/N87&gt;الإعدادات!$B$8*1.5,"خفض الميزانية + اختبار إبداعات جديدة",IF(O87/H87&gt;=الإعدادات!$B$6*1.2,"توسيع الميزانية تدريجياً",IF(O87/H87&gt;=الإعدادات!$B$7,IF(AND(X87&lt;&gt;"",X87&lt;0),"رابحة — حدّث الإبداعات لرفع CTR","رابحة — حافظ وحسّن"),"تحت التعادل — حسّن الصفحة/العرض أو أوقف"))))))</f>
        <v/>
      </c>
    </row>
    <row r="88" customFormat="false" ht="15" hidden="false" customHeight="false" outlineLevel="0" collapsed="false">
      <c r="A88" s="14"/>
      <c r="B88" s="14"/>
      <c r="C88" s="14"/>
      <c r="D88" s="14"/>
      <c r="E88" s="14"/>
      <c r="F88" s="14"/>
      <c r="G88" s="14"/>
      <c r="H88" s="19"/>
      <c r="I88" s="22"/>
      <c r="J88" s="22"/>
      <c r="K88" s="22"/>
      <c r="L88" s="22"/>
      <c r="M88" s="22"/>
      <c r="N88" s="22"/>
      <c r="O88" s="19"/>
      <c r="P88" s="23" t="str">
        <f aca="false">IF(I88&gt;0,K88/I88,"")</f>
        <v/>
      </c>
      <c r="Q88" s="20" t="str">
        <f aca="false">IF(K88&gt;0,H88/K88,"")</f>
        <v/>
      </c>
      <c r="R88" s="20" t="str">
        <f aca="false">IF(I88&gt;0,H88/I88*1000,"")</f>
        <v/>
      </c>
      <c r="S88" s="23" t="str">
        <f aca="false">IF(K88&gt;0,N88/K88,"")</f>
        <v/>
      </c>
      <c r="T88" s="20" t="str">
        <f aca="false">IF(N88&gt;0,H88/N88,"")</f>
        <v/>
      </c>
      <c r="U88" s="18" t="str">
        <f aca="false">IF(H88&gt;0,O88/H88,"")</f>
        <v/>
      </c>
      <c r="V88" s="20" t="str">
        <f aca="false">IF(N88&gt;0,O88/N88,"")</f>
        <v/>
      </c>
      <c r="W88" s="20" t="str">
        <f aca="false">IF(H88&gt;0,O88*الإعدادات!$B$5-H88,"")</f>
        <v/>
      </c>
      <c r="X88" s="23" t="str">
        <f aca="false">IF(AND(I88&gt;0,A88&lt;&gt;""),P88-IFERROR(INDEX(الإعدادات!$B$15:$B$18,MATCH(A88,الإعدادات!$A$15:$A$18,0)),0),"")</f>
        <v/>
      </c>
      <c r="Y88" s="12" t="str">
        <f aca="false">IF(H88="","",IF(H88&lt;الإعدادات!$B$9,"بيانات غير كافية — انتظر",IF(N88=0,"إيقاف أو إعادة بناء (إنفاق بلا مبيعات)",IF(H88/N88&gt;الإعدادات!$B$8*1.5,"خفض الميزانية + اختبار إبداعات جديدة",IF(O88/H88&gt;=الإعدادات!$B$6*1.2,"توسيع الميزانية تدريجياً",IF(O88/H88&gt;=الإعدادات!$B$7,IF(AND(X88&lt;&gt;"",X88&lt;0),"رابحة — حدّث الإبداعات لرفع CTR","رابحة — حافظ وحسّن"),"تحت التعادل — حسّن الصفحة/العرض أو أوقف"))))))</f>
        <v/>
      </c>
    </row>
    <row r="89" customFormat="false" ht="15" hidden="false" customHeight="false" outlineLevel="0" collapsed="false">
      <c r="A89" s="14"/>
      <c r="B89" s="14"/>
      <c r="C89" s="14"/>
      <c r="D89" s="14"/>
      <c r="E89" s="14"/>
      <c r="F89" s="14"/>
      <c r="G89" s="14"/>
      <c r="H89" s="19"/>
      <c r="I89" s="22"/>
      <c r="J89" s="22"/>
      <c r="K89" s="22"/>
      <c r="L89" s="22"/>
      <c r="M89" s="22"/>
      <c r="N89" s="22"/>
      <c r="O89" s="19"/>
      <c r="P89" s="23" t="str">
        <f aca="false">IF(I89&gt;0,K89/I89,"")</f>
        <v/>
      </c>
      <c r="Q89" s="20" t="str">
        <f aca="false">IF(K89&gt;0,H89/K89,"")</f>
        <v/>
      </c>
      <c r="R89" s="20" t="str">
        <f aca="false">IF(I89&gt;0,H89/I89*1000,"")</f>
        <v/>
      </c>
      <c r="S89" s="23" t="str">
        <f aca="false">IF(K89&gt;0,N89/K89,"")</f>
        <v/>
      </c>
      <c r="T89" s="20" t="str">
        <f aca="false">IF(N89&gt;0,H89/N89,"")</f>
        <v/>
      </c>
      <c r="U89" s="18" t="str">
        <f aca="false">IF(H89&gt;0,O89/H89,"")</f>
        <v/>
      </c>
      <c r="V89" s="20" t="str">
        <f aca="false">IF(N89&gt;0,O89/N89,"")</f>
        <v/>
      </c>
      <c r="W89" s="20" t="str">
        <f aca="false">IF(H89&gt;0,O89*الإعدادات!$B$5-H89,"")</f>
        <v/>
      </c>
      <c r="X89" s="23" t="str">
        <f aca="false">IF(AND(I89&gt;0,A89&lt;&gt;""),P89-IFERROR(INDEX(الإعدادات!$B$15:$B$18,MATCH(A89,الإعدادات!$A$15:$A$18,0)),0),"")</f>
        <v/>
      </c>
      <c r="Y89" s="12" t="str">
        <f aca="false">IF(H89="","",IF(H89&lt;الإعدادات!$B$9,"بيانات غير كافية — انتظر",IF(N89=0,"إيقاف أو إعادة بناء (إنفاق بلا مبيعات)",IF(H89/N89&gt;الإعدادات!$B$8*1.5,"خفض الميزانية + اختبار إبداعات جديدة",IF(O89/H89&gt;=الإعدادات!$B$6*1.2,"توسيع الميزانية تدريجياً",IF(O89/H89&gt;=الإعدادات!$B$7,IF(AND(X89&lt;&gt;"",X89&lt;0),"رابحة — حدّث الإبداعات لرفع CTR","رابحة — حافظ وحسّن"),"تحت التعادل — حسّن الصفحة/العرض أو أوقف"))))))</f>
        <v/>
      </c>
    </row>
    <row r="90" customFormat="false" ht="15" hidden="false" customHeight="false" outlineLevel="0" collapsed="false">
      <c r="A90" s="14"/>
      <c r="B90" s="14"/>
      <c r="C90" s="14"/>
      <c r="D90" s="14"/>
      <c r="E90" s="14"/>
      <c r="F90" s="14"/>
      <c r="G90" s="14"/>
      <c r="H90" s="19"/>
      <c r="I90" s="22"/>
      <c r="J90" s="22"/>
      <c r="K90" s="22"/>
      <c r="L90" s="22"/>
      <c r="M90" s="22"/>
      <c r="N90" s="22"/>
      <c r="O90" s="19"/>
      <c r="P90" s="23" t="str">
        <f aca="false">IF(I90&gt;0,K90/I90,"")</f>
        <v/>
      </c>
      <c r="Q90" s="20" t="str">
        <f aca="false">IF(K90&gt;0,H90/K90,"")</f>
        <v/>
      </c>
      <c r="R90" s="20" t="str">
        <f aca="false">IF(I90&gt;0,H90/I90*1000,"")</f>
        <v/>
      </c>
      <c r="S90" s="23" t="str">
        <f aca="false">IF(K90&gt;0,N90/K90,"")</f>
        <v/>
      </c>
      <c r="T90" s="20" t="str">
        <f aca="false">IF(N90&gt;0,H90/N90,"")</f>
        <v/>
      </c>
      <c r="U90" s="18" t="str">
        <f aca="false">IF(H90&gt;0,O90/H90,"")</f>
        <v/>
      </c>
      <c r="V90" s="20" t="str">
        <f aca="false">IF(N90&gt;0,O90/N90,"")</f>
        <v/>
      </c>
      <c r="W90" s="20" t="str">
        <f aca="false">IF(H90&gt;0,O90*الإعدادات!$B$5-H90,"")</f>
        <v/>
      </c>
      <c r="X90" s="23" t="str">
        <f aca="false">IF(AND(I90&gt;0,A90&lt;&gt;""),P90-IFERROR(INDEX(الإعدادات!$B$15:$B$18,MATCH(A90,الإعدادات!$A$15:$A$18,0)),0),"")</f>
        <v/>
      </c>
      <c r="Y90" s="12" t="str">
        <f aca="false">IF(H90="","",IF(H90&lt;الإعدادات!$B$9,"بيانات غير كافية — انتظر",IF(N90=0,"إيقاف أو إعادة بناء (إنفاق بلا مبيعات)",IF(H90/N90&gt;الإعدادات!$B$8*1.5,"خفض الميزانية + اختبار إبداعات جديدة",IF(O90/H90&gt;=الإعدادات!$B$6*1.2,"توسيع الميزانية تدريجياً",IF(O90/H90&gt;=الإعدادات!$B$7,IF(AND(X90&lt;&gt;"",X90&lt;0),"رابحة — حدّث الإبداعات لرفع CTR","رابحة — حافظ وحسّن"),"تحت التعادل — حسّن الصفحة/العرض أو أوقف"))))))</f>
        <v/>
      </c>
    </row>
    <row r="91" customFormat="false" ht="15" hidden="false" customHeight="false" outlineLevel="0" collapsed="false">
      <c r="A91" s="14"/>
      <c r="B91" s="14"/>
      <c r="C91" s="14"/>
      <c r="D91" s="14"/>
      <c r="E91" s="14"/>
      <c r="F91" s="14"/>
      <c r="G91" s="14"/>
      <c r="H91" s="19"/>
      <c r="I91" s="22"/>
      <c r="J91" s="22"/>
      <c r="K91" s="22"/>
      <c r="L91" s="22"/>
      <c r="M91" s="22"/>
      <c r="N91" s="22"/>
      <c r="O91" s="19"/>
      <c r="P91" s="23" t="str">
        <f aca="false">IF(I91&gt;0,K91/I91,"")</f>
        <v/>
      </c>
      <c r="Q91" s="20" t="str">
        <f aca="false">IF(K91&gt;0,H91/K91,"")</f>
        <v/>
      </c>
      <c r="R91" s="20" t="str">
        <f aca="false">IF(I91&gt;0,H91/I91*1000,"")</f>
        <v/>
      </c>
      <c r="S91" s="23" t="str">
        <f aca="false">IF(K91&gt;0,N91/K91,"")</f>
        <v/>
      </c>
      <c r="T91" s="20" t="str">
        <f aca="false">IF(N91&gt;0,H91/N91,"")</f>
        <v/>
      </c>
      <c r="U91" s="18" t="str">
        <f aca="false">IF(H91&gt;0,O91/H91,"")</f>
        <v/>
      </c>
      <c r="V91" s="20" t="str">
        <f aca="false">IF(N91&gt;0,O91/N91,"")</f>
        <v/>
      </c>
      <c r="W91" s="20" t="str">
        <f aca="false">IF(H91&gt;0,O91*الإعدادات!$B$5-H91,"")</f>
        <v/>
      </c>
      <c r="X91" s="23" t="str">
        <f aca="false">IF(AND(I91&gt;0,A91&lt;&gt;""),P91-IFERROR(INDEX(الإعدادات!$B$15:$B$18,MATCH(A91,الإعدادات!$A$15:$A$18,0)),0),"")</f>
        <v/>
      </c>
      <c r="Y91" s="12" t="str">
        <f aca="false">IF(H91="","",IF(H91&lt;الإعدادات!$B$9,"بيانات غير كافية — انتظر",IF(N91=0,"إيقاف أو إعادة بناء (إنفاق بلا مبيعات)",IF(H91/N91&gt;الإعدادات!$B$8*1.5,"خفض الميزانية + اختبار إبداعات جديدة",IF(O91/H91&gt;=الإعدادات!$B$6*1.2,"توسيع الميزانية تدريجياً",IF(O91/H91&gt;=الإعدادات!$B$7,IF(AND(X91&lt;&gt;"",X91&lt;0),"رابحة — حدّث الإبداعات لرفع CTR","رابحة — حافظ وحسّن"),"تحت التعادل — حسّن الصفحة/العرض أو أوقف"))))))</f>
        <v/>
      </c>
    </row>
    <row r="92" customFormat="false" ht="15" hidden="false" customHeight="false" outlineLevel="0" collapsed="false">
      <c r="A92" s="14"/>
      <c r="B92" s="14"/>
      <c r="C92" s="14"/>
      <c r="D92" s="14"/>
      <c r="E92" s="14"/>
      <c r="F92" s="14"/>
      <c r="G92" s="14"/>
      <c r="H92" s="19"/>
      <c r="I92" s="22"/>
      <c r="J92" s="22"/>
      <c r="K92" s="22"/>
      <c r="L92" s="22"/>
      <c r="M92" s="22"/>
      <c r="N92" s="22"/>
      <c r="O92" s="19"/>
      <c r="P92" s="23" t="str">
        <f aca="false">IF(I92&gt;0,K92/I92,"")</f>
        <v/>
      </c>
      <c r="Q92" s="20" t="str">
        <f aca="false">IF(K92&gt;0,H92/K92,"")</f>
        <v/>
      </c>
      <c r="R92" s="20" t="str">
        <f aca="false">IF(I92&gt;0,H92/I92*1000,"")</f>
        <v/>
      </c>
      <c r="S92" s="23" t="str">
        <f aca="false">IF(K92&gt;0,N92/K92,"")</f>
        <v/>
      </c>
      <c r="T92" s="20" t="str">
        <f aca="false">IF(N92&gt;0,H92/N92,"")</f>
        <v/>
      </c>
      <c r="U92" s="18" t="str">
        <f aca="false">IF(H92&gt;0,O92/H92,"")</f>
        <v/>
      </c>
      <c r="V92" s="20" t="str">
        <f aca="false">IF(N92&gt;0,O92/N92,"")</f>
        <v/>
      </c>
      <c r="W92" s="20" t="str">
        <f aca="false">IF(H92&gt;0,O92*الإعدادات!$B$5-H92,"")</f>
        <v/>
      </c>
      <c r="X92" s="23" t="str">
        <f aca="false">IF(AND(I92&gt;0,A92&lt;&gt;""),P92-IFERROR(INDEX(الإعدادات!$B$15:$B$18,MATCH(A92,الإعدادات!$A$15:$A$18,0)),0),"")</f>
        <v/>
      </c>
      <c r="Y92" s="12" t="str">
        <f aca="false">IF(H92="","",IF(H92&lt;الإعدادات!$B$9,"بيانات غير كافية — انتظر",IF(N92=0,"إيقاف أو إعادة بناء (إنفاق بلا مبيعات)",IF(H92/N92&gt;الإعدادات!$B$8*1.5,"خفض الميزانية + اختبار إبداعات جديدة",IF(O92/H92&gt;=الإعدادات!$B$6*1.2,"توسيع الميزانية تدريجياً",IF(O92/H92&gt;=الإعدادات!$B$7,IF(AND(X92&lt;&gt;"",X92&lt;0),"رابحة — حدّث الإبداعات لرفع CTR","رابحة — حافظ وحسّن"),"تحت التعادل — حسّن الصفحة/العرض أو أوقف"))))))</f>
        <v/>
      </c>
    </row>
    <row r="93" customFormat="false" ht="15" hidden="false" customHeight="false" outlineLevel="0" collapsed="false">
      <c r="A93" s="14"/>
      <c r="B93" s="14"/>
      <c r="C93" s="14"/>
      <c r="D93" s="14"/>
      <c r="E93" s="14"/>
      <c r="F93" s="14"/>
      <c r="G93" s="14"/>
      <c r="H93" s="19"/>
      <c r="I93" s="22"/>
      <c r="J93" s="22"/>
      <c r="K93" s="22"/>
      <c r="L93" s="22"/>
      <c r="M93" s="22"/>
      <c r="N93" s="22"/>
      <c r="O93" s="19"/>
      <c r="P93" s="23" t="str">
        <f aca="false">IF(I93&gt;0,K93/I93,"")</f>
        <v/>
      </c>
      <c r="Q93" s="20" t="str">
        <f aca="false">IF(K93&gt;0,H93/K93,"")</f>
        <v/>
      </c>
      <c r="R93" s="20" t="str">
        <f aca="false">IF(I93&gt;0,H93/I93*1000,"")</f>
        <v/>
      </c>
      <c r="S93" s="23" t="str">
        <f aca="false">IF(K93&gt;0,N93/K93,"")</f>
        <v/>
      </c>
      <c r="T93" s="20" t="str">
        <f aca="false">IF(N93&gt;0,H93/N93,"")</f>
        <v/>
      </c>
      <c r="U93" s="18" t="str">
        <f aca="false">IF(H93&gt;0,O93/H93,"")</f>
        <v/>
      </c>
      <c r="V93" s="20" t="str">
        <f aca="false">IF(N93&gt;0,O93/N93,"")</f>
        <v/>
      </c>
      <c r="W93" s="20" t="str">
        <f aca="false">IF(H93&gt;0,O93*الإعدادات!$B$5-H93,"")</f>
        <v/>
      </c>
      <c r="X93" s="23" t="str">
        <f aca="false">IF(AND(I93&gt;0,A93&lt;&gt;""),P93-IFERROR(INDEX(الإعدادات!$B$15:$B$18,MATCH(A93,الإعدادات!$A$15:$A$18,0)),0),"")</f>
        <v/>
      </c>
      <c r="Y93" s="12" t="str">
        <f aca="false">IF(H93="","",IF(H93&lt;الإعدادات!$B$9,"بيانات غير كافية — انتظر",IF(N93=0,"إيقاف أو إعادة بناء (إنفاق بلا مبيعات)",IF(H93/N93&gt;الإعدادات!$B$8*1.5,"خفض الميزانية + اختبار إبداعات جديدة",IF(O93/H93&gt;=الإعدادات!$B$6*1.2,"توسيع الميزانية تدريجياً",IF(O93/H93&gt;=الإعدادات!$B$7,IF(AND(X93&lt;&gt;"",X93&lt;0),"رابحة — حدّث الإبداعات لرفع CTR","رابحة — حافظ وحسّن"),"تحت التعادل — حسّن الصفحة/العرض أو أوقف"))))))</f>
        <v/>
      </c>
    </row>
    <row r="94" customFormat="false" ht="15" hidden="false" customHeight="false" outlineLevel="0" collapsed="false">
      <c r="A94" s="14"/>
      <c r="B94" s="14"/>
      <c r="C94" s="14"/>
      <c r="D94" s="14"/>
      <c r="E94" s="14"/>
      <c r="F94" s="14"/>
      <c r="G94" s="14"/>
      <c r="H94" s="19"/>
      <c r="I94" s="22"/>
      <c r="J94" s="22"/>
      <c r="K94" s="22"/>
      <c r="L94" s="22"/>
      <c r="M94" s="22"/>
      <c r="N94" s="22"/>
      <c r="O94" s="19"/>
      <c r="P94" s="23" t="str">
        <f aca="false">IF(I94&gt;0,K94/I94,"")</f>
        <v/>
      </c>
      <c r="Q94" s="20" t="str">
        <f aca="false">IF(K94&gt;0,H94/K94,"")</f>
        <v/>
      </c>
      <c r="R94" s="20" t="str">
        <f aca="false">IF(I94&gt;0,H94/I94*1000,"")</f>
        <v/>
      </c>
      <c r="S94" s="23" t="str">
        <f aca="false">IF(K94&gt;0,N94/K94,"")</f>
        <v/>
      </c>
      <c r="T94" s="20" t="str">
        <f aca="false">IF(N94&gt;0,H94/N94,"")</f>
        <v/>
      </c>
      <c r="U94" s="18" t="str">
        <f aca="false">IF(H94&gt;0,O94/H94,"")</f>
        <v/>
      </c>
      <c r="V94" s="20" t="str">
        <f aca="false">IF(N94&gt;0,O94/N94,"")</f>
        <v/>
      </c>
      <c r="W94" s="20" t="str">
        <f aca="false">IF(H94&gt;0,O94*الإعدادات!$B$5-H94,"")</f>
        <v/>
      </c>
      <c r="X94" s="23" t="str">
        <f aca="false">IF(AND(I94&gt;0,A94&lt;&gt;""),P94-IFERROR(INDEX(الإعدادات!$B$15:$B$18,MATCH(A94,الإعدادات!$A$15:$A$18,0)),0),"")</f>
        <v/>
      </c>
      <c r="Y94" s="12" t="str">
        <f aca="false">IF(H94="","",IF(H94&lt;الإعدادات!$B$9,"بيانات غير كافية — انتظر",IF(N94=0,"إيقاف أو إعادة بناء (إنفاق بلا مبيعات)",IF(H94/N94&gt;الإعدادات!$B$8*1.5,"خفض الميزانية + اختبار إبداعات جديدة",IF(O94/H94&gt;=الإعدادات!$B$6*1.2,"توسيع الميزانية تدريجياً",IF(O94/H94&gt;=الإعدادات!$B$7,IF(AND(X94&lt;&gt;"",X94&lt;0),"رابحة — حدّث الإبداعات لرفع CTR","رابحة — حافظ وحسّن"),"تحت التعادل — حسّن الصفحة/العرض أو أوقف"))))))</f>
        <v/>
      </c>
    </row>
    <row r="95" customFormat="false" ht="15" hidden="false" customHeight="false" outlineLevel="0" collapsed="false">
      <c r="A95" s="14"/>
      <c r="B95" s="14"/>
      <c r="C95" s="14"/>
      <c r="D95" s="14"/>
      <c r="E95" s="14"/>
      <c r="F95" s="14"/>
      <c r="G95" s="14"/>
      <c r="H95" s="19"/>
      <c r="I95" s="22"/>
      <c r="J95" s="22"/>
      <c r="K95" s="22"/>
      <c r="L95" s="22"/>
      <c r="M95" s="22"/>
      <c r="N95" s="22"/>
      <c r="O95" s="19"/>
      <c r="P95" s="23" t="str">
        <f aca="false">IF(I95&gt;0,K95/I95,"")</f>
        <v/>
      </c>
      <c r="Q95" s="20" t="str">
        <f aca="false">IF(K95&gt;0,H95/K95,"")</f>
        <v/>
      </c>
      <c r="R95" s="20" t="str">
        <f aca="false">IF(I95&gt;0,H95/I95*1000,"")</f>
        <v/>
      </c>
      <c r="S95" s="23" t="str">
        <f aca="false">IF(K95&gt;0,N95/K95,"")</f>
        <v/>
      </c>
      <c r="T95" s="20" t="str">
        <f aca="false">IF(N95&gt;0,H95/N95,"")</f>
        <v/>
      </c>
      <c r="U95" s="18" t="str">
        <f aca="false">IF(H95&gt;0,O95/H95,"")</f>
        <v/>
      </c>
      <c r="V95" s="20" t="str">
        <f aca="false">IF(N95&gt;0,O95/N95,"")</f>
        <v/>
      </c>
      <c r="W95" s="20" t="str">
        <f aca="false">IF(H95&gt;0,O95*الإعدادات!$B$5-H95,"")</f>
        <v/>
      </c>
      <c r="X95" s="23" t="str">
        <f aca="false">IF(AND(I95&gt;0,A95&lt;&gt;""),P95-IFERROR(INDEX(الإعدادات!$B$15:$B$18,MATCH(A95,الإعدادات!$A$15:$A$18,0)),0),"")</f>
        <v/>
      </c>
      <c r="Y95" s="12" t="str">
        <f aca="false">IF(H95="","",IF(H95&lt;الإعدادات!$B$9,"بيانات غير كافية — انتظر",IF(N95=0,"إيقاف أو إعادة بناء (إنفاق بلا مبيعات)",IF(H95/N95&gt;الإعدادات!$B$8*1.5,"خفض الميزانية + اختبار إبداعات جديدة",IF(O95/H95&gt;=الإعدادات!$B$6*1.2,"توسيع الميزانية تدريجياً",IF(O95/H95&gt;=الإعدادات!$B$7,IF(AND(X95&lt;&gt;"",X95&lt;0),"رابحة — حدّث الإبداعات لرفع CTR","رابحة — حافظ وحسّن"),"تحت التعادل — حسّن الصفحة/العرض أو أوقف"))))))</f>
        <v/>
      </c>
    </row>
    <row r="96" customFormat="false" ht="15" hidden="false" customHeight="false" outlineLevel="0" collapsed="false">
      <c r="A96" s="14"/>
      <c r="B96" s="14"/>
      <c r="C96" s="14"/>
      <c r="D96" s="14"/>
      <c r="E96" s="14"/>
      <c r="F96" s="14"/>
      <c r="G96" s="14"/>
      <c r="H96" s="19"/>
      <c r="I96" s="22"/>
      <c r="J96" s="22"/>
      <c r="K96" s="22"/>
      <c r="L96" s="22"/>
      <c r="M96" s="22"/>
      <c r="N96" s="22"/>
      <c r="O96" s="19"/>
      <c r="P96" s="23" t="str">
        <f aca="false">IF(I96&gt;0,K96/I96,"")</f>
        <v/>
      </c>
      <c r="Q96" s="20" t="str">
        <f aca="false">IF(K96&gt;0,H96/K96,"")</f>
        <v/>
      </c>
      <c r="R96" s="20" t="str">
        <f aca="false">IF(I96&gt;0,H96/I96*1000,"")</f>
        <v/>
      </c>
      <c r="S96" s="23" t="str">
        <f aca="false">IF(K96&gt;0,N96/K96,"")</f>
        <v/>
      </c>
      <c r="T96" s="20" t="str">
        <f aca="false">IF(N96&gt;0,H96/N96,"")</f>
        <v/>
      </c>
      <c r="U96" s="18" t="str">
        <f aca="false">IF(H96&gt;0,O96/H96,"")</f>
        <v/>
      </c>
      <c r="V96" s="20" t="str">
        <f aca="false">IF(N96&gt;0,O96/N96,"")</f>
        <v/>
      </c>
      <c r="W96" s="20" t="str">
        <f aca="false">IF(H96&gt;0,O96*الإعدادات!$B$5-H96,"")</f>
        <v/>
      </c>
      <c r="X96" s="23" t="str">
        <f aca="false">IF(AND(I96&gt;0,A96&lt;&gt;""),P96-IFERROR(INDEX(الإعدادات!$B$15:$B$18,MATCH(A96,الإعدادات!$A$15:$A$18,0)),0),"")</f>
        <v/>
      </c>
      <c r="Y96" s="12" t="str">
        <f aca="false">IF(H96="","",IF(H96&lt;الإعدادات!$B$9,"بيانات غير كافية — انتظر",IF(N96=0,"إيقاف أو إعادة بناء (إنفاق بلا مبيعات)",IF(H96/N96&gt;الإعدادات!$B$8*1.5,"خفض الميزانية + اختبار إبداعات جديدة",IF(O96/H96&gt;=الإعدادات!$B$6*1.2,"توسيع الميزانية تدريجياً",IF(O96/H96&gt;=الإعدادات!$B$7,IF(AND(X96&lt;&gt;"",X96&lt;0),"رابحة — حدّث الإبداعات لرفع CTR","رابحة — حافظ وحسّن"),"تحت التعادل — حسّن الصفحة/العرض أو أوقف"))))))</f>
        <v/>
      </c>
    </row>
    <row r="97" customFormat="false" ht="15" hidden="false" customHeight="false" outlineLevel="0" collapsed="false">
      <c r="A97" s="14"/>
      <c r="B97" s="14"/>
      <c r="C97" s="14"/>
      <c r="D97" s="14"/>
      <c r="E97" s="14"/>
      <c r="F97" s="14"/>
      <c r="G97" s="14"/>
      <c r="H97" s="19"/>
      <c r="I97" s="22"/>
      <c r="J97" s="22"/>
      <c r="K97" s="22"/>
      <c r="L97" s="22"/>
      <c r="M97" s="22"/>
      <c r="N97" s="22"/>
      <c r="O97" s="19"/>
      <c r="P97" s="23" t="str">
        <f aca="false">IF(I97&gt;0,K97/I97,"")</f>
        <v/>
      </c>
      <c r="Q97" s="20" t="str">
        <f aca="false">IF(K97&gt;0,H97/K97,"")</f>
        <v/>
      </c>
      <c r="R97" s="20" t="str">
        <f aca="false">IF(I97&gt;0,H97/I97*1000,"")</f>
        <v/>
      </c>
      <c r="S97" s="23" t="str">
        <f aca="false">IF(K97&gt;0,N97/K97,"")</f>
        <v/>
      </c>
      <c r="T97" s="20" t="str">
        <f aca="false">IF(N97&gt;0,H97/N97,"")</f>
        <v/>
      </c>
      <c r="U97" s="18" t="str">
        <f aca="false">IF(H97&gt;0,O97/H97,"")</f>
        <v/>
      </c>
      <c r="V97" s="20" t="str">
        <f aca="false">IF(N97&gt;0,O97/N97,"")</f>
        <v/>
      </c>
      <c r="W97" s="20" t="str">
        <f aca="false">IF(H97&gt;0,O97*الإعدادات!$B$5-H97,"")</f>
        <v/>
      </c>
      <c r="X97" s="23" t="str">
        <f aca="false">IF(AND(I97&gt;0,A97&lt;&gt;""),P97-IFERROR(INDEX(الإعدادات!$B$15:$B$18,MATCH(A97,الإعدادات!$A$15:$A$18,0)),0),"")</f>
        <v/>
      </c>
      <c r="Y97" s="12" t="str">
        <f aca="false">IF(H97="","",IF(H97&lt;الإعدادات!$B$9,"بيانات غير كافية — انتظر",IF(N97=0,"إيقاف أو إعادة بناء (إنفاق بلا مبيعات)",IF(H97/N97&gt;الإعدادات!$B$8*1.5,"خفض الميزانية + اختبار إبداعات جديدة",IF(O97/H97&gt;=الإعدادات!$B$6*1.2,"توسيع الميزانية تدريجياً",IF(O97/H97&gt;=الإعدادات!$B$7,IF(AND(X97&lt;&gt;"",X97&lt;0),"رابحة — حدّث الإبداعات لرفع CTR","رابحة — حافظ وحسّن"),"تحت التعادل — حسّن الصفحة/العرض أو أوقف"))))))</f>
        <v/>
      </c>
    </row>
    <row r="98" customFormat="false" ht="15" hidden="false" customHeight="false" outlineLevel="0" collapsed="false">
      <c r="A98" s="14"/>
      <c r="B98" s="14"/>
      <c r="C98" s="14"/>
      <c r="D98" s="14"/>
      <c r="E98" s="14"/>
      <c r="F98" s="14"/>
      <c r="G98" s="14"/>
      <c r="H98" s="19"/>
      <c r="I98" s="22"/>
      <c r="J98" s="22"/>
      <c r="K98" s="22"/>
      <c r="L98" s="22"/>
      <c r="M98" s="22"/>
      <c r="N98" s="22"/>
      <c r="O98" s="19"/>
      <c r="P98" s="23" t="str">
        <f aca="false">IF(I98&gt;0,K98/I98,"")</f>
        <v/>
      </c>
      <c r="Q98" s="20" t="str">
        <f aca="false">IF(K98&gt;0,H98/K98,"")</f>
        <v/>
      </c>
      <c r="R98" s="20" t="str">
        <f aca="false">IF(I98&gt;0,H98/I98*1000,"")</f>
        <v/>
      </c>
      <c r="S98" s="23" t="str">
        <f aca="false">IF(K98&gt;0,N98/K98,"")</f>
        <v/>
      </c>
      <c r="T98" s="20" t="str">
        <f aca="false">IF(N98&gt;0,H98/N98,"")</f>
        <v/>
      </c>
      <c r="U98" s="18" t="str">
        <f aca="false">IF(H98&gt;0,O98/H98,"")</f>
        <v/>
      </c>
      <c r="V98" s="20" t="str">
        <f aca="false">IF(N98&gt;0,O98/N98,"")</f>
        <v/>
      </c>
      <c r="W98" s="20" t="str">
        <f aca="false">IF(H98&gt;0,O98*الإعدادات!$B$5-H98,"")</f>
        <v/>
      </c>
      <c r="X98" s="23" t="str">
        <f aca="false">IF(AND(I98&gt;0,A98&lt;&gt;""),P98-IFERROR(INDEX(الإعدادات!$B$15:$B$18,MATCH(A98,الإعدادات!$A$15:$A$18,0)),0),"")</f>
        <v/>
      </c>
      <c r="Y98" s="12" t="str">
        <f aca="false">IF(H98="","",IF(H98&lt;الإعدادات!$B$9,"بيانات غير كافية — انتظر",IF(N98=0,"إيقاف أو إعادة بناء (إنفاق بلا مبيعات)",IF(H98/N98&gt;الإعدادات!$B$8*1.5,"خفض الميزانية + اختبار إبداعات جديدة",IF(O98/H98&gt;=الإعدادات!$B$6*1.2,"توسيع الميزانية تدريجياً",IF(O98/H98&gt;=الإعدادات!$B$7,IF(AND(X98&lt;&gt;"",X98&lt;0),"رابحة — حدّث الإبداعات لرفع CTR","رابحة — حافظ وحسّن"),"تحت التعادل — حسّن الصفحة/العرض أو أوقف"))))))</f>
        <v/>
      </c>
    </row>
    <row r="99" customFormat="false" ht="15" hidden="false" customHeight="false" outlineLevel="0" collapsed="false">
      <c r="A99" s="14"/>
      <c r="B99" s="14"/>
      <c r="C99" s="14"/>
      <c r="D99" s="14"/>
      <c r="E99" s="14"/>
      <c r="F99" s="14"/>
      <c r="G99" s="14"/>
      <c r="H99" s="19"/>
      <c r="I99" s="22"/>
      <c r="J99" s="22"/>
      <c r="K99" s="22"/>
      <c r="L99" s="22"/>
      <c r="M99" s="22"/>
      <c r="N99" s="22"/>
      <c r="O99" s="19"/>
      <c r="P99" s="23" t="str">
        <f aca="false">IF(I99&gt;0,K99/I99,"")</f>
        <v/>
      </c>
      <c r="Q99" s="20" t="str">
        <f aca="false">IF(K99&gt;0,H99/K99,"")</f>
        <v/>
      </c>
      <c r="R99" s="20" t="str">
        <f aca="false">IF(I99&gt;0,H99/I99*1000,"")</f>
        <v/>
      </c>
      <c r="S99" s="23" t="str">
        <f aca="false">IF(K99&gt;0,N99/K99,"")</f>
        <v/>
      </c>
      <c r="T99" s="20" t="str">
        <f aca="false">IF(N99&gt;0,H99/N99,"")</f>
        <v/>
      </c>
      <c r="U99" s="18" t="str">
        <f aca="false">IF(H99&gt;0,O99/H99,"")</f>
        <v/>
      </c>
      <c r="V99" s="20" t="str">
        <f aca="false">IF(N99&gt;0,O99/N99,"")</f>
        <v/>
      </c>
      <c r="W99" s="20" t="str">
        <f aca="false">IF(H99&gt;0,O99*الإعدادات!$B$5-H99,"")</f>
        <v/>
      </c>
      <c r="X99" s="23" t="str">
        <f aca="false">IF(AND(I99&gt;0,A99&lt;&gt;""),P99-IFERROR(INDEX(الإعدادات!$B$15:$B$18,MATCH(A99,الإعدادات!$A$15:$A$18,0)),0),"")</f>
        <v/>
      </c>
      <c r="Y99" s="12" t="str">
        <f aca="false">IF(H99="","",IF(H99&lt;الإعدادات!$B$9,"بيانات غير كافية — انتظر",IF(N99=0,"إيقاف أو إعادة بناء (إنفاق بلا مبيعات)",IF(H99/N99&gt;الإعدادات!$B$8*1.5,"خفض الميزانية + اختبار إبداعات جديدة",IF(O99/H99&gt;=الإعدادات!$B$6*1.2,"توسيع الميزانية تدريجياً",IF(O99/H99&gt;=الإعدادات!$B$7,IF(AND(X99&lt;&gt;"",X99&lt;0),"رابحة — حدّث الإبداعات لرفع CTR","رابحة — حافظ وحسّن"),"تحت التعادل — حسّن الصفحة/العرض أو أوقف"))))))</f>
        <v/>
      </c>
    </row>
    <row r="100" customFormat="false" ht="15" hidden="false" customHeight="false" outlineLevel="0" collapsed="false">
      <c r="A100" s="14"/>
      <c r="B100" s="14"/>
      <c r="C100" s="14"/>
      <c r="D100" s="14"/>
      <c r="E100" s="14"/>
      <c r="F100" s="14"/>
      <c r="G100" s="14"/>
      <c r="H100" s="19"/>
      <c r="I100" s="22"/>
      <c r="J100" s="22"/>
      <c r="K100" s="22"/>
      <c r="L100" s="22"/>
      <c r="M100" s="22"/>
      <c r="N100" s="22"/>
      <c r="O100" s="19"/>
      <c r="P100" s="23" t="str">
        <f aca="false">IF(I100&gt;0,K100/I100,"")</f>
        <v/>
      </c>
      <c r="Q100" s="20" t="str">
        <f aca="false">IF(K100&gt;0,H100/K100,"")</f>
        <v/>
      </c>
      <c r="R100" s="20" t="str">
        <f aca="false">IF(I100&gt;0,H100/I100*1000,"")</f>
        <v/>
      </c>
      <c r="S100" s="23" t="str">
        <f aca="false">IF(K100&gt;0,N100/K100,"")</f>
        <v/>
      </c>
      <c r="T100" s="20" t="str">
        <f aca="false">IF(N100&gt;0,H100/N100,"")</f>
        <v/>
      </c>
      <c r="U100" s="18" t="str">
        <f aca="false">IF(H100&gt;0,O100/H100,"")</f>
        <v/>
      </c>
      <c r="V100" s="20" t="str">
        <f aca="false">IF(N100&gt;0,O100/N100,"")</f>
        <v/>
      </c>
      <c r="W100" s="20" t="str">
        <f aca="false">IF(H100&gt;0,O100*الإعدادات!$B$5-H100,"")</f>
        <v/>
      </c>
      <c r="X100" s="23" t="str">
        <f aca="false">IF(AND(I100&gt;0,A100&lt;&gt;""),P100-IFERROR(INDEX(الإعدادات!$B$15:$B$18,MATCH(A100,الإعدادات!$A$15:$A$18,0)),0),"")</f>
        <v/>
      </c>
      <c r="Y100" s="12" t="str">
        <f aca="false">IF(H100="","",IF(H100&lt;الإعدادات!$B$9,"بيانات غير كافية — انتظر",IF(N100=0,"إيقاف أو إعادة بناء (إنفاق بلا مبيعات)",IF(H100/N100&gt;الإعدادات!$B$8*1.5,"خفض الميزانية + اختبار إبداعات جديدة",IF(O100/H100&gt;=الإعدادات!$B$6*1.2,"توسيع الميزانية تدريجياً",IF(O100/H100&gt;=الإعدادات!$B$7,IF(AND(X100&lt;&gt;"",X100&lt;0),"رابحة — حدّث الإبداعات لرفع CTR","رابحة — حافظ وحسّن"),"تحت التعادل — حسّن الصفحة/العرض أو أوقف"))))))</f>
        <v/>
      </c>
    </row>
    <row r="101" customFormat="false" ht="15" hidden="false" customHeight="false" outlineLevel="0" collapsed="false">
      <c r="A101" s="14"/>
      <c r="B101" s="14"/>
      <c r="C101" s="14"/>
      <c r="D101" s="14"/>
      <c r="E101" s="14"/>
      <c r="F101" s="14"/>
      <c r="G101" s="14"/>
      <c r="H101" s="19"/>
      <c r="I101" s="22"/>
      <c r="J101" s="22"/>
      <c r="K101" s="22"/>
      <c r="L101" s="22"/>
      <c r="M101" s="22"/>
      <c r="N101" s="22"/>
      <c r="O101" s="19"/>
      <c r="P101" s="23" t="str">
        <f aca="false">IF(I101&gt;0,K101/I101,"")</f>
        <v/>
      </c>
      <c r="Q101" s="20" t="str">
        <f aca="false">IF(K101&gt;0,H101/K101,"")</f>
        <v/>
      </c>
      <c r="R101" s="20" t="str">
        <f aca="false">IF(I101&gt;0,H101/I101*1000,"")</f>
        <v/>
      </c>
      <c r="S101" s="23" t="str">
        <f aca="false">IF(K101&gt;0,N101/K101,"")</f>
        <v/>
      </c>
      <c r="T101" s="20" t="str">
        <f aca="false">IF(N101&gt;0,H101/N101,"")</f>
        <v/>
      </c>
      <c r="U101" s="18" t="str">
        <f aca="false">IF(H101&gt;0,O101/H101,"")</f>
        <v/>
      </c>
      <c r="V101" s="20" t="str">
        <f aca="false">IF(N101&gt;0,O101/N101,"")</f>
        <v/>
      </c>
      <c r="W101" s="20" t="str">
        <f aca="false">IF(H101&gt;0,O101*الإعدادات!$B$5-H101,"")</f>
        <v/>
      </c>
      <c r="X101" s="23" t="str">
        <f aca="false">IF(AND(I101&gt;0,A101&lt;&gt;""),P101-IFERROR(INDEX(الإعدادات!$B$15:$B$18,MATCH(A101,الإعدادات!$A$15:$A$18,0)),0),"")</f>
        <v/>
      </c>
      <c r="Y101" s="12" t="str">
        <f aca="false">IF(H101="","",IF(H101&lt;الإعدادات!$B$9,"بيانات غير كافية — انتظر",IF(N101=0,"إيقاف أو إعادة بناء (إنفاق بلا مبيعات)",IF(H101/N101&gt;الإعدادات!$B$8*1.5,"خفض الميزانية + اختبار إبداعات جديدة",IF(O101/H101&gt;=الإعدادات!$B$6*1.2,"توسيع الميزانية تدريجياً",IF(O101/H101&gt;=الإعدادات!$B$7,IF(AND(X101&lt;&gt;"",X101&lt;0),"رابحة — حدّث الإبداعات لرفع CTR","رابحة — حافظ وحسّن"),"تحت التعادل — حسّن الصفحة/العرض أو أوقف"))))))</f>
        <v/>
      </c>
    </row>
    <row r="102" customFormat="false" ht="15" hidden="false" customHeight="false" outlineLevel="0" collapsed="false">
      <c r="A102" s="14"/>
      <c r="B102" s="14"/>
      <c r="C102" s="14"/>
      <c r="D102" s="14"/>
      <c r="E102" s="14"/>
      <c r="F102" s="14"/>
      <c r="G102" s="14"/>
      <c r="H102" s="19"/>
      <c r="I102" s="22"/>
      <c r="J102" s="22"/>
      <c r="K102" s="22"/>
      <c r="L102" s="22"/>
      <c r="M102" s="22"/>
      <c r="N102" s="22"/>
      <c r="O102" s="19"/>
      <c r="P102" s="23" t="str">
        <f aca="false">IF(I102&gt;0,K102/I102,"")</f>
        <v/>
      </c>
      <c r="Q102" s="20" t="str">
        <f aca="false">IF(K102&gt;0,H102/K102,"")</f>
        <v/>
      </c>
      <c r="R102" s="20" t="str">
        <f aca="false">IF(I102&gt;0,H102/I102*1000,"")</f>
        <v/>
      </c>
      <c r="S102" s="23" t="str">
        <f aca="false">IF(K102&gt;0,N102/K102,"")</f>
        <v/>
      </c>
      <c r="T102" s="20" t="str">
        <f aca="false">IF(N102&gt;0,H102/N102,"")</f>
        <v/>
      </c>
      <c r="U102" s="18" t="str">
        <f aca="false">IF(H102&gt;0,O102/H102,"")</f>
        <v/>
      </c>
      <c r="V102" s="20" t="str">
        <f aca="false">IF(N102&gt;0,O102/N102,"")</f>
        <v/>
      </c>
      <c r="W102" s="20" t="str">
        <f aca="false">IF(H102&gt;0,O102*الإعدادات!$B$5-H102,"")</f>
        <v/>
      </c>
      <c r="X102" s="23" t="str">
        <f aca="false">IF(AND(I102&gt;0,A102&lt;&gt;""),P102-IFERROR(INDEX(الإعدادات!$B$15:$B$18,MATCH(A102,الإعدادات!$A$15:$A$18,0)),0),"")</f>
        <v/>
      </c>
      <c r="Y102" s="12" t="str">
        <f aca="false">IF(H102="","",IF(H102&lt;الإعدادات!$B$9,"بيانات غير كافية — انتظر",IF(N102=0,"إيقاف أو إعادة بناء (إنفاق بلا مبيعات)",IF(H102/N102&gt;الإعدادات!$B$8*1.5,"خفض الميزانية + اختبار إبداعات جديدة",IF(O102/H102&gt;=الإعدادات!$B$6*1.2,"توسيع الميزانية تدريجياً",IF(O102/H102&gt;=الإعدادات!$B$7,IF(AND(X102&lt;&gt;"",X102&lt;0),"رابحة — حدّث الإبداعات لرفع CTR","رابحة — حافظ وحسّن"),"تحت التعادل — حسّن الصفحة/العرض أو أوقف"))))))</f>
        <v/>
      </c>
    </row>
    <row r="103" customFormat="false" ht="15" hidden="false" customHeight="false" outlineLevel="0" collapsed="false">
      <c r="A103" s="14"/>
      <c r="B103" s="14"/>
      <c r="C103" s="14"/>
      <c r="D103" s="14"/>
      <c r="E103" s="14"/>
      <c r="F103" s="14"/>
      <c r="G103" s="14"/>
      <c r="H103" s="19"/>
      <c r="I103" s="22"/>
      <c r="J103" s="22"/>
      <c r="K103" s="22"/>
      <c r="L103" s="22"/>
      <c r="M103" s="22"/>
      <c r="N103" s="22"/>
      <c r="O103" s="19"/>
      <c r="P103" s="23" t="str">
        <f aca="false">IF(I103&gt;0,K103/I103,"")</f>
        <v/>
      </c>
      <c r="Q103" s="20" t="str">
        <f aca="false">IF(K103&gt;0,H103/K103,"")</f>
        <v/>
      </c>
      <c r="R103" s="20" t="str">
        <f aca="false">IF(I103&gt;0,H103/I103*1000,"")</f>
        <v/>
      </c>
      <c r="S103" s="23" t="str">
        <f aca="false">IF(K103&gt;0,N103/K103,"")</f>
        <v/>
      </c>
      <c r="T103" s="20" t="str">
        <f aca="false">IF(N103&gt;0,H103/N103,"")</f>
        <v/>
      </c>
      <c r="U103" s="18" t="str">
        <f aca="false">IF(H103&gt;0,O103/H103,"")</f>
        <v/>
      </c>
      <c r="V103" s="20" t="str">
        <f aca="false">IF(N103&gt;0,O103/N103,"")</f>
        <v/>
      </c>
      <c r="W103" s="20" t="str">
        <f aca="false">IF(H103&gt;0,O103*الإعدادات!$B$5-H103,"")</f>
        <v/>
      </c>
      <c r="X103" s="23" t="str">
        <f aca="false">IF(AND(I103&gt;0,A103&lt;&gt;""),P103-IFERROR(INDEX(الإعدادات!$B$15:$B$18,MATCH(A103,الإعدادات!$A$15:$A$18,0)),0),"")</f>
        <v/>
      </c>
      <c r="Y103" s="12" t="str">
        <f aca="false">IF(H103="","",IF(H103&lt;الإعدادات!$B$9,"بيانات غير كافية — انتظر",IF(N103=0,"إيقاف أو إعادة بناء (إنفاق بلا مبيعات)",IF(H103/N103&gt;الإعدادات!$B$8*1.5,"خفض الميزانية + اختبار إبداعات جديدة",IF(O103/H103&gt;=الإعدادات!$B$6*1.2,"توسيع الميزانية تدريجياً",IF(O103/H103&gt;=الإعدادات!$B$7,IF(AND(X103&lt;&gt;"",X103&lt;0),"رابحة — حدّث الإبداعات لرفع CTR","رابحة — حافظ وحسّن"),"تحت التعادل — حسّن الصفحة/العرض أو أوقف"))))))</f>
        <v/>
      </c>
    </row>
    <row r="104" customFormat="false" ht="15" hidden="false" customHeight="false" outlineLevel="0" collapsed="false">
      <c r="A104" s="14"/>
      <c r="B104" s="14"/>
      <c r="C104" s="14"/>
      <c r="D104" s="14"/>
      <c r="E104" s="14"/>
      <c r="F104" s="14"/>
      <c r="G104" s="14"/>
      <c r="H104" s="19"/>
      <c r="I104" s="22"/>
      <c r="J104" s="22"/>
      <c r="K104" s="22"/>
      <c r="L104" s="22"/>
      <c r="M104" s="22"/>
      <c r="N104" s="22"/>
      <c r="O104" s="19"/>
      <c r="P104" s="23" t="str">
        <f aca="false">IF(I104&gt;0,K104/I104,"")</f>
        <v/>
      </c>
      <c r="Q104" s="20" t="str">
        <f aca="false">IF(K104&gt;0,H104/K104,"")</f>
        <v/>
      </c>
      <c r="R104" s="20" t="str">
        <f aca="false">IF(I104&gt;0,H104/I104*1000,"")</f>
        <v/>
      </c>
      <c r="S104" s="23" t="str">
        <f aca="false">IF(K104&gt;0,N104/K104,"")</f>
        <v/>
      </c>
      <c r="T104" s="20" t="str">
        <f aca="false">IF(N104&gt;0,H104/N104,"")</f>
        <v/>
      </c>
      <c r="U104" s="18" t="str">
        <f aca="false">IF(H104&gt;0,O104/H104,"")</f>
        <v/>
      </c>
      <c r="V104" s="20" t="str">
        <f aca="false">IF(N104&gt;0,O104/N104,"")</f>
        <v/>
      </c>
      <c r="W104" s="20" t="str">
        <f aca="false">IF(H104&gt;0,O104*الإعدادات!$B$5-H104,"")</f>
        <v/>
      </c>
      <c r="X104" s="23" t="str">
        <f aca="false">IF(AND(I104&gt;0,A104&lt;&gt;""),P104-IFERROR(INDEX(الإعدادات!$B$15:$B$18,MATCH(A104,الإعدادات!$A$15:$A$18,0)),0),"")</f>
        <v/>
      </c>
      <c r="Y104" s="12" t="str">
        <f aca="false">IF(H104="","",IF(H104&lt;الإعدادات!$B$9,"بيانات غير كافية — انتظر",IF(N104=0,"إيقاف أو إعادة بناء (إنفاق بلا مبيعات)",IF(H104/N104&gt;الإعدادات!$B$8*1.5,"خفض الميزانية + اختبار إبداعات جديدة",IF(O104/H104&gt;=الإعدادات!$B$6*1.2,"توسيع الميزانية تدريجياً",IF(O104/H104&gt;=الإعدادات!$B$7,IF(AND(X104&lt;&gt;"",X104&lt;0),"رابحة — حدّث الإبداعات لرفع CTR","رابحة — حافظ وحسّن"),"تحت التعادل — حسّن الصفحة/العرض أو أوقف"))))))</f>
        <v/>
      </c>
    </row>
    <row r="105" customFormat="false" ht="15" hidden="false" customHeight="false" outlineLevel="0" collapsed="false">
      <c r="A105" s="14"/>
      <c r="B105" s="14"/>
      <c r="C105" s="14"/>
      <c r="D105" s="14"/>
      <c r="E105" s="14"/>
      <c r="F105" s="14"/>
      <c r="G105" s="14"/>
      <c r="H105" s="19"/>
      <c r="I105" s="22"/>
      <c r="J105" s="22"/>
      <c r="K105" s="22"/>
      <c r="L105" s="22"/>
      <c r="M105" s="22"/>
      <c r="N105" s="22"/>
      <c r="O105" s="19"/>
      <c r="P105" s="23" t="str">
        <f aca="false">IF(I105&gt;0,K105/I105,"")</f>
        <v/>
      </c>
      <c r="Q105" s="20" t="str">
        <f aca="false">IF(K105&gt;0,H105/K105,"")</f>
        <v/>
      </c>
      <c r="R105" s="20" t="str">
        <f aca="false">IF(I105&gt;0,H105/I105*1000,"")</f>
        <v/>
      </c>
      <c r="S105" s="23" t="str">
        <f aca="false">IF(K105&gt;0,N105/K105,"")</f>
        <v/>
      </c>
      <c r="T105" s="20" t="str">
        <f aca="false">IF(N105&gt;0,H105/N105,"")</f>
        <v/>
      </c>
      <c r="U105" s="18" t="str">
        <f aca="false">IF(H105&gt;0,O105/H105,"")</f>
        <v/>
      </c>
      <c r="V105" s="20" t="str">
        <f aca="false">IF(N105&gt;0,O105/N105,"")</f>
        <v/>
      </c>
      <c r="W105" s="20" t="str">
        <f aca="false">IF(H105&gt;0,O105*الإعدادات!$B$5-H105,"")</f>
        <v/>
      </c>
      <c r="X105" s="23" t="str">
        <f aca="false">IF(AND(I105&gt;0,A105&lt;&gt;""),P105-IFERROR(INDEX(الإعدادات!$B$15:$B$18,MATCH(A105,الإعدادات!$A$15:$A$18,0)),0),"")</f>
        <v/>
      </c>
      <c r="Y105" s="12" t="str">
        <f aca="false">IF(H105="","",IF(H105&lt;الإعدادات!$B$9,"بيانات غير كافية — انتظر",IF(N105=0,"إيقاف أو إعادة بناء (إنفاق بلا مبيعات)",IF(H105/N105&gt;الإعدادات!$B$8*1.5,"خفض الميزانية + اختبار إبداعات جديدة",IF(O105/H105&gt;=الإعدادات!$B$6*1.2,"توسيع الميزانية تدريجياً",IF(O105/H105&gt;=الإعدادات!$B$7,IF(AND(X105&lt;&gt;"",X105&lt;0),"رابحة — حدّث الإبداعات لرفع CTR","رابحة — حافظ وحسّن"),"تحت التعادل — حسّن الصفحة/العرض أو أوقف"))))))</f>
        <v/>
      </c>
    </row>
    <row r="106" customFormat="false" ht="15" hidden="false" customHeight="false" outlineLevel="0" collapsed="false">
      <c r="A106" s="14"/>
      <c r="B106" s="14"/>
      <c r="C106" s="14"/>
      <c r="D106" s="14"/>
      <c r="E106" s="14"/>
      <c r="F106" s="14"/>
      <c r="G106" s="14"/>
      <c r="H106" s="19"/>
      <c r="I106" s="22"/>
      <c r="J106" s="22"/>
      <c r="K106" s="22"/>
      <c r="L106" s="22"/>
      <c r="M106" s="22"/>
      <c r="N106" s="22"/>
      <c r="O106" s="19"/>
      <c r="P106" s="23" t="str">
        <f aca="false">IF(I106&gt;0,K106/I106,"")</f>
        <v/>
      </c>
      <c r="Q106" s="20" t="str">
        <f aca="false">IF(K106&gt;0,H106/K106,"")</f>
        <v/>
      </c>
      <c r="R106" s="20" t="str">
        <f aca="false">IF(I106&gt;0,H106/I106*1000,"")</f>
        <v/>
      </c>
      <c r="S106" s="23" t="str">
        <f aca="false">IF(K106&gt;0,N106/K106,"")</f>
        <v/>
      </c>
      <c r="T106" s="20" t="str">
        <f aca="false">IF(N106&gt;0,H106/N106,"")</f>
        <v/>
      </c>
      <c r="U106" s="18" t="str">
        <f aca="false">IF(H106&gt;0,O106/H106,"")</f>
        <v/>
      </c>
      <c r="V106" s="20" t="str">
        <f aca="false">IF(N106&gt;0,O106/N106,"")</f>
        <v/>
      </c>
      <c r="W106" s="20" t="str">
        <f aca="false">IF(H106&gt;0,O106*الإعدادات!$B$5-H106,"")</f>
        <v/>
      </c>
      <c r="X106" s="23" t="str">
        <f aca="false">IF(AND(I106&gt;0,A106&lt;&gt;""),P106-IFERROR(INDEX(الإعدادات!$B$15:$B$18,MATCH(A106,الإعدادات!$A$15:$A$18,0)),0),"")</f>
        <v/>
      </c>
      <c r="Y106" s="12" t="str">
        <f aca="false">IF(H106="","",IF(H106&lt;الإعدادات!$B$9,"بيانات غير كافية — انتظر",IF(N106=0,"إيقاف أو إعادة بناء (إنفاق بلا مبيعات)",IF(H106/N106&gt;الإعدادات!$B$8*1.5,"خفض الميزانية + اختبار إبداعات جديدة",IF(O106/H106&gt;=الإعدادات!$B$6*1.2,"توسيع الميزانية تدريجياً",IF(O106/H106&gt;=الإعدادات!$B$7,IF(AND(X106&lt;&gt;"",X106&lt;0),"رابحة — حدّث الإبداعات لرفع CTR","رابحة — حافظ وحسّن"),"تحت التعادل — حسّن الصفحة/العرض أو أوقف"))))))</f>
        <v/>
      </c>
    </row>
    <row r="107" customFormat="false" ht="15" hidden="false" customHeight="false" outlineLevel="0" collapsed="false">
      <c r="A107" s="14"/>
      <c r="B107" s="14"/>
      <c r="C107" s="14"/>
      <c r="D107" s="14"/>
      <c r="E107" s="14"/>
      <c r="F107" s="14"/>
      <c r="G107" s="14"/>
      <c r="H107" s="19"/>
      <c r="I107" s="22"/>
      <c r="J107" s="22"/>
      <c r="K107" s="22"/>
      <c r="L107" s="22"/>
      <c r="M107" s="22"/>
      <c r="N107" s="22"/>
      <c r="O107" s="19"/>
      <c r="P107" s="23" t="str">
        <f aca="false">IF(I107&gt;0,K107/I107,"")</f>
        <v/>
      </c>
      <c r="Q107" s="20" t="str">
        <f aca="false">IF(K107&gt;0,H107/K107,"")</f>
        <v/>
      </c>
      <c r="R107" s="20" t="str">
        <f aca="false">IF(I107&gt;0,H107/I107*1000,"")</f>
        <v/>
      </c>
      <c r="S107" s="23" t="str">
        <f aca="false">IF(K107&gt;0,N107/K107,"")</f>
        <v/>
      </c>
      <c r="T107" s="20" t="str">
        <f aca="false">IF(N107&gt;0,H107/N107,"")</f>
        <v/>
      </c>
      <c r="U107" s="18" t="str">
        <f aca="false">IF(H107&gt;0,O107/H107,"")</f>
        <v/>
      </c>
      <c r="V107" s="20" t="str">
        <f aca="false">IF(N107&gt;0,O107/N107,"")</f>
        <v/>
      </c>
      <c r="W107" s="20" t="str">
        <f aca="false">IF(H107&gt;0,O107*الإعدادات!$B$5-H107,"")</f>
        <v/>
      </c>
      <c r="X107" s="23" t="str">
        <f aca="false">IF(AND(I107&gt;0,A107&lt;&gt;""),P107-IFERROR(INDEX(الإعدادات!$B$15:$B$18,MATCH(A107,الإعدادات!$A$15:$A$18,0)),0),"")</f>
        <v/>
      </c>
      <c r="Y107" s="12" t="str">
        <f aca="false">IF(H107="","",IF(H107&lt;الإعدادات!$B$9,"بيانات غير كافية — انتظر",IF(N107=0,"إيقاف أو إعادة بناء (إنفاق بلا مبيعات)",IF(H107/N107&gt;الإعدادات!$B$8*1.5,"خفض الميزانية + اختبار إبداعات جديدة",IF(O107/H107&gt;=الإعدادات!$B$6*1.2,"توسيع الميزانية تدريجياً",IF(O107/H107&gt;=الإعدادات!$B$7,IF(AND(X107&lt;&gt;"",X107&lt;0),"رابحة — حدّث الإبداعات لرفع CTR","رابحة — حافظ وحسّن"),"تحت التعادل — حسّن الصفحة/العرض أو أوقف"))))))</f>
        <v/>
      </c>
    </row>
    <row r="108" customFormat="false" ht="15" hidden="false" customHeight="false" outlineLevel="0" collapsed="false">
      <c r="A108" s="14"/>
      <c r="B108" s="14"/>
      <c r="C108" s="14"/>
      <c r="D108" s="14"/>
      <c r="E108" s="14"/>
      <c r="F108" s="14"/>
      <c r="G108" s="14"/>
      <c r="H108" s="19"/>
      <c r="I108" s="22"/>
      <c r="J108" s="22"/>
      <c r="K108" s="22"/>
      <c r="L108" s="22"/>
      <c r="M108" s="22"/>
      <c r="N108" s="22"/>
      <c r="O108" s="19"/>
      <c r="P108" s="23" t="str">
        <f aca="false">IF(I108&gt;0,K108/I108,"")</f>
        <v/>
      </c>
      <c r="Q108" s="20" t="str">
        <f aca="false">IF(K108&gt;0,H108/K108,"")</f>
        <v/>
      </c>
      <c r="R108" s="20" t="str">
        <f aca="false">IF(I108&gt;0,H108/I108*1000,"")</f>
        <v/>
      </c>
      <c r="S108" s="23" t="str">
        <f aca="false">IF(K108&gt;0,N108/K108,"")</f>
        <v/>
      </c>
      <c r="T108" s="20" t="str">
        <f aca="false">IF(N108&gt;0,H108/N108,"")</f>
        <v/>
      </c>
      <c r="U108" s="18" t="str">
        <f aca="false">IF(H108&gt;0,O108/H108,"")</f>
        <v/>
      </c>
      <c r="V108" s="20" t="str">
        <f aca="false">IF(N108&gt;0,O108/N108,"")</f>
        <v/>
      </c>
      <c r="W108" s="20" t="str">
        <f aca="false">IF(H108&gt;0,O108*الإعدادات!$B$5-H108,"")</f>
        <v/>
      </c>
      <c r="X108" s="23" t="str">
        <f aca="false">IF(AND(I108&gt;0,A108&lt;&gt;""),P108-IFERROR(INDEX(الإعدادات!$B$15:$B$18,MATCH(A108,الإعدادات!$A$15:$A$18,0)),0),"")</f>
        <v/>
      </c>
      <c r="Y108" s="12" t="str">
        <f aca="false">IF(H108="","",IF(H108&lt;الإعدادات!$B$9,"بيانات غير كافية — انتظر",IF(N108=0,"إيقاف أو إعادة بناء (إنفاق بلا مبيعات)",IF(H108/N108&gt;الإعدادات!$B$8*1.5,"خفض الميزانية + اختبار إبداعات جديدة",IF(O108/H108&gt;=الإعدادات!$B$6*1.2,"توسيع الميزانية تدريجياً",IF(O108/H108&gt;=الإعدادات!$B$7,IF(AND(X108&lt;&gt;"",X108&lt;0),"رابحة — حدّث الإبداعات لرفع CTR","رابحة — حافظ وحسّن"),"تحت التعادل — حسّن الصفحة/العرض أو أوقف"))))))</f>
        <v/>
      </c>
    </row>
    <row r="109" customFormat="false" ht="15" hidden="false" customHeight="false" outlineLevel="0" collapsed="false">
      <c r="A109" s="14"/>
      <c r="B109" s="14"/>
      <c r="C109" s="14"/>
      <c r="D109" s="14"/>
      <c r="E109" s="14"/>
      <c r="F109" s="14"/>
      <c r="G109" s="14"/>
      <c r="H109" s="19"/>
      <c r="I109" s="22"/>
      <c r="J109" s="22"/>
      <c r="K109" s="22"/>
      <c r="L109" s="22"/>
      <c r="M109" s="22"/>
      <c r="N109" s="22"/>
      <c r="O109" s="19"/>
      <c r="P109" s="23" t="str">
        <f aca="false">IF(I109&gt;0,K109/I109,"")</f>
        <v/>
      </c>
      <c r="Q109" s="20" t="str">
        <f aca="false">IF(K109&gt;0,H109/K109,"")</f>
        <v/>
      </c>
      <c r="R109" s="20" t="str">
        <f aca="false">IF(I109&gt;0,H109/I109*1000,"")</f>
        <v/>
      </c>
      <c r="S109" s="23" t="str">
        <f aca="false">IF(K109&gt;0,N109/K109,"")</f>
        <v/>
      </c>
      <c r="T109" s="20" t="str">
        <f aca="false">IF(N109&gt;0,H109/N109,"")</f>
        <v/>
      </c>
      <c r="U109" s="18" t="str">
        <f aca="false">IF(H109&gt;0,O109/H109,"")</f>
        <v/>
      </c>
      <c r="V109" s="20" t="str">
        <f aca="false">IF(N109&gt;0,O109/N109,"")</f>
        <v/>
      </c>
      <c r="W109" s="20" t="str">
        <f aca="false">IF(H109&gt;0,O109*الإعدادات!$B$5-H109,"")</f>
        <v/>
      </c>
      <c r="X109" s="23" t="str">
        <f aca="false">IF(AND(I109&gt;0,A109&lt;&gt;""),P109-IFERROR(INDEX(الإعدادات!$B$15:$B$18,MATCH(A109,الإعدادات!$A$15:$A$18,0)),0),"")</f>
        <v/>
      </c>
      <c r="Y109" s="12" t="str">
        <f aca="false">IF(H109="","",IF(H109&lt;الإعدادات!$B$9,"بيانات غير كافية — انتظر",IF(N109=0,"إيقاف أو إعادة بناء (إنفاق بلا مبيعات)",IF(H109/N109&gt;الإعدادات!$B$8*1.5,"خفض الميزانية + اختبار إبداعات جديدة",IF(O109/H109&gt;=الإعدادات!$B$6*1.2,"توسيع الميزانية تدريجياً",IF(O109/H109&gt;=الإعدادات!$B$7,IF(AND(X109&lt;&gt;"",X109&lt;0),"رابحة — حدّث الإبداعات لرفع CTR","رابحة — حافظ وحسّن"),"تحت التعادل — حسّن الصفحة/العرض أو أوقف"))))))</f>
        <v/>
      </c>
    </row>
    <row r="110" customFormat="false" ht="15" hidden="false" customHeight="false" outlineLevel="0" collapsed="false">
      <c r="A110" s="14"/>
      <c r="B110" s="14"/>
      <c r="C110" s="14"/>
      <c r="D110" s="14"/>
      <c r="E110" s="14"/>
      <c r="F110" s="14"/>
      <c r="G110" s="14"/>
      <c r="H110" s="19"/>
      <c r="I110" s="22"/>
      <c r="J110" s="22"/>
      <c r="K110" s="22"/>
      <c r="L110" s="22"/>
      <c r="M110" s="22"/>
      <c r="N110" s="22"/>
      <c r="O110" s="19"/>
      <c r="P110" s="23" t="str">
        <f aca="false">IF(I110&gt;0,K110/I110,"")</f>
        <v/>
      </c>
      <c r="Q110" s="20" t="str">
        <f aca="false">IF(K110&gt;0,H110/K110,"")</f>
        <v/>
      </c>
      <c r="R110" s="20" t="str">
        <f aca="false">IF(I110&gt;0,H110/I110*1000,"")</f>
        <v/>
      </c>
      <c r="S110" s="23" t="str">
        <f aca="false">IF(K110&gt;0,N110/K110,"")</f>
        <v/>
      </c>
      <c r="T110" s="20" t="str">
        <f aca="false">IF(N110&gt;0,H110/N110,"")</f>
        <v/>
      </c>
      <c r="U110" s="18" t="str">
        <f aca="false">IF(H110&gt;0,O110/H110,"")</f>
        <v/>
      </c>
      <c r="V110" s="20" t="str">
        <f aca="false">IF(N110&gt;0,O110/N110,"")</f>
        <v/>
      </c>
      <c r="W110" s="20" t="str">
        <f aca="false">IF(H110&gt;0,O110*الإعدادات!$B$5-H110,"")</f>
        <v/>
      </c>
      <c r="X110" s="23" t="str">
        <f aca="false">IF(AND(I110&gt;0,A110&lt;&gt;""),P110-IFERROR(INDEX(الإعدادات!$B$15:$B$18,MATCH(A110,الإعدادات!$A$15:$A$18,0)),0),"")</f>
        <v/>
      </c>
      <c r="Y110" s="12" t="str">
        <f aca="false">IF(H110="","",IF(H110&lt;الإعدادات!$B$9,"بيانات غير كافية — انتظر",IF(N110=0,"إيقاف أو إعادة بناء (إنفاق بلا مبيعات)",IF(H110/N110&gt;الإعدادات!$B$8*1.5,"خفض الميزانية + اختبار إبداعات جديدة",IF(O110/H110&gt;=الإعدادات!$B$6*1.2,"توسيع الميزانية تدريجياً",IF(O110/H110&gt;=الإعدادات!$B$7,IF(AND(X110&lt;&gt;"",X110&lt;0),"رابحة — حدّث الإبداعات لرفع CTR","رابحة — حافظ وحسّن"),"تحت التعادل — حسّن الصفحة/العرض أو أوقف"))))))</f>
        <v/>
      </c>
    </row>
    <row r="111" customFormat="false" ht="15" hidden="false" customHeight="false" outlineLevel="0" collapsed="false">
      <c r="A111" s="14"/>
      <c r="B111" s="14"/>
      <c r="C111" s="14"/>
      <c r="D111" s="14"/>
      <c r="E111" s="14"/>
      <c r="F111" s="14"/>
      <c r="G111" s="14"/>
      <c r="H111" s="19"/>
      <c r="I111" s="22"/>
      <c r="J111" s="22"/>
      <c r="K111" s="22"/>
      <c r="L111" s="22"/>
      <c r="M111" s="22"/>
      <c r="N111" s="22"/>
      <c r="O111" s="19"/>
      <c r="P111" s="23" t="str">
        <f aca="false">IF(I111&gt;0,K111/I111,"")</f>
        <v/>
      </c>
      <c r="Q111" s="20" t="str">
        <f aca="false">IF(K111&gt;0,H111/K111,"")</f>
        <v/>
      </c>
      <c r="R111" s="20" t="str">
        <f aca="false">IF(I111&gt;0,H111/I111*1000,"")</f>
        <v/>
      </c>
      <c r="S111" s="23" t="str">
        <f aca="false">IF(K111&gt;0,N111/K111,"")</f>
        <v/>
      </c>
      <c r="T111" s="20" t="str">
        <f aca="false">IF(N111&gt;0,H111/N111,"")</f>
        <v/>
      </c>
      <c r="U111" s="18" t="str">
        <f aca="false">IF(H111&gt;0,O111/H111,"")</f>
        <v/>
      </c>
      <c r="V111" s="20" t="str">
        <f aca="false">IF(N111&gt;0,O111/N111,"")</f>
        <v/>
      </c>
      <c r="W111" s="20" t="str">
        <f aca="false">IF(H111&gt;0,O111*الإعدادات!$B$5-H111,"")</f>
        <v/>
      </c>
      <c r="X111" s="23" t="str">
        <f aca="false">IF(AND(I111&gt;0,A111&lt;&gt;""),P111-IFERROR(INDEX(الإعدادات!$B$15:$B$18,MATCH(A111,الإعدادات!$A$15:$A$18,0)),0),"")</f>
        <v/>
      </c>
      <c r="Y111" s="12" t="str">
        <f aca="false">IF(H111="","",IF(H111&lt;الإعدادات!$B$9,"بيانات غير كافية — انتظر",IF(N111=0,"إيقاف أو إعادة بناء (إنفاق بلا مبيعات)",IF(H111/N111&gt;الإعدادات!$B$8*1.5,"خفض الميزانية + اختبار إبداعات جديدة",IF(O111/H111&gt;=الإعدادات!$B$6*1.2,"توسيع الميزانية تدريجياً",IF(O111/H111&gt;=الإعدادات!$B$7,IF(AND(X111&lt;&gt;"",X111&lt;0),"رابحة — حدّث الإبداعات لرفع CTR","رابحة — حافظ وحسّن"),"تحت التعادل — حسّن الصفحة/العرض أو أوقف"))))))</f>
        <v/>
      </c>
    </row>
    <row r="112" customFormat="false" ht="15" hidden="false" customHeight="false" outlineLevel="0" collapsed="false">
      <c r="A112" s="14"/>
      <c r="B112" s="14"/>
      <c r="C112" s="14"/>
      <c r="D112" s="14"/>
      <c r="E112" s="14"/>
      <c r="F112" s="14"/>
      <c r="G112" s="14"/>
      <c r="H112" s="19"/>
      <c r="I112" s="22"/>
      <c r="J112" s="22"/>
      <c r="K112" s="22"/>
      <c r="L112" s="22"/>
      <c r="M112" s="22"/>
      <c r="N112" s="22"/>
      <c r="O112" s="19"/>
      <c r="P112" s="23" t="str">
        <f aca="false">IF(I112&gt;0,K112/I112,"")</f>
        <v/>
      </c>
      <c r="Q112" s="20" t="str">
        <f aca="false">IF(K112&gt;0,H112/K112,"")</f>
        <v/>
      </c>
      <c r="R112" s="20" t="str">
        <f aca="false">IF(I112&gt;0,H112/I112*1000,"")</f>
        <v/>
      </c>
      <c r="S112" s="23" t="str">
        <f aca="false">IF(K112&gt;0,N112/K112,"")</f>
        <v/>
      </c>
      <c r="T112" s="20" t="str">
        <f aca="false">IF(N112&gt;0,H112/N112,"")</f>
        <v/>
      </c>
      <c r="U112" s="18" t="str">
        <f aca="false">IF(H112&gt;0,O112/H112,"")</f>
        <v/>
      </c>
      <c r="V112" s="20" t="str">
        <f aca="false">IF(N112&gt;0,O112/N112,"")</f>
        <v/>
      </c>
      <c r="W112" s="20" t="str">
        <f aca="false">IF(H112&gt;0,O112*الإعدادات!$B$5-H112,"")</f>
        <v/>
      </c>
      <c r="X112" s="23" t="str">
        <f aca="false">IF(AND(I112&gt;0,A112&lt;&gt;""),P112-IFERROR(INDEX(الإعدادات!$B$15:$B$18,MATCH(A112,الإعدادات!$A$15:$A$18,0)),0),"")</f>
        <v/>
      </c>
      <c r="Y112" s="12" t="str">
        <f aca="false">IF(H112="","",IF(H112&lt;الإعدادات!$B$9,"بيانات غير كافية — انتظر",IF(N112=0,"إيقاف أو إعادة بناء (إنفاق بلا مبيعات)",IF(H112/N112&gt;الإعدادات!$B$8*1.5,"خفض الميزانية + اختبار إبداعات جديدة",IF(O112/H112&gt;=الإعدادات!$B$6*1.2,"توسيع الميزانية تدريجياً",IF(O112/H112&gt;=الإعدادات!$B$7,IF(AND(X112&lt;&gt;"",X112&lt;0),"رابحة — حدّث الإبداعات لرفع CTR","رابحة — حافظ وحسّن"),"تحت التعادل — حسّن الصفحة/العرض أو أوقف"))))))</f>
        <v/>
      </c>
    </row>
    <row r="113" customFormat="false" ht="15" hidden="false" customHeight="false" outlineLevel="0" collapsed="false">
      <c r="A113" s="14"/>
      <c r="B113" s="14"/>
      <c r="C113" s="14"/>
      <c r="D113" s="14"/>
      <c r="E113" s="14"/>
      <c r="F113" s="14"/>
      <c r="G113" s="14"/>
      <c r="H113" s="19"/>
      <c r="I113" s="22"/>
      <c r="J113" s="22"/>
      <c r="K113" s="22"/>
      <c r="L113" s="22"/>
      <c r="M113" s="22"/>
      <c r="N113" s="22"/>
      <c r="O113" s="19"/>
      <c r="P113" s="23" t="str">
        <f aca="false">IF(I113&gt;0,K113/I113,"")</f>
        <v/>
      </c>
      <c r="Q113" s="20" t="str">
        <f aca="false">IF(K113&gt;0,H113/K113,"")</f>
        <v/>
      </c>
      <c r="R113" s="20" t="str">
        <f aca="false">IF(I113&gt;0,H113/I113*1000,"")</f>
        <v/>
      </c>
      <c r="S113" s="23" t="str">
        <f aca="false">IF(K113&gt;0,N113/K113,"")</f>
        <v/>
      </c>
      <c r="T113" s="20" t="str">
        <f aca="false">IF(N113&gt;0,H113/N113,"")</f>
        <v/>
      </c>
      <c r="U113" s="18" t="str">
        <f aca="false">IF(H113&gt;0,O113/H113,"")</f>
        <v/>
      </c>
      <c r="V113" s="20" t="str">
        <f aca="false">IF(N113&gt;0,O113/N113,"")</f>
        <v/>
      </c>
      <c r="W113" s="20" t="str">
        <f aca="false">IF(H113&gt;0,O113*الإعدادات!$B$5-H113,"")</f>
        <v/>
      </c>
      <c r="X113" s="23" t="str">
        <f aca="false">IF(AND(I113&gt;0,A113&lt;&gt;""),P113-IFERROR(INDEX(الإعدادات!$B$15:$B$18,MATCH(A113,الإعدادات!$A$15:$A$18,0)),0),"")</f>
        <v/>
      </c>
      <c r="Y113" s="12" t="str">
        <f aca="false">IF(H113="","",IF(H113&lt;الإعدادات!$B$9,"بيانات غير كافية — انتظر",IF(N113=0,"إيقاف أو إعادة بناء (إنفاق بلا مبيعات)",IF(H113/N113&gt;الإعدادات!$B$8*1.5,"خفض الميزانية + اختبار إبداعات جديدة",IF(O113/H113&gt;=الإعدادات!$B$6*1.2,"توسيع الميزانية تدريجياً",IF(O113/H113&gt;=الإعدادات!$B$7,IF(AND(X113&lt;&gt;"",X113&lt;0),"رابحة — حدّث الإبداعات لرفع CTR","رابحة — حافظ وحسّن"),"تحت التعادل — حسّن الصفحة/العرض أو أوقف"))))))</f>
        <v/>
      </c>
    </row>
    <row r="114" customFormat="false" ht="15" hidden="false" customHeight="false" outlineLevel="0" collapsed="false">
      <c r="A114" s="14"/>
      <c r="B114" s="14"/>
      <c r="C114" s="14"/>
      <c r="D114" s="14"/>
      <c r="E114" s="14"/>
      <c r="F114" s="14"/>
      <c r="G114" s="14"/>
      <c r="H114" s="19"/>
      <c r="I114" s="22"/>
      <c r="J114" s="22"/>
      <c r="K114" s="22"/>
      <c r="L114" s="22"/>
      <c r="M114" s="22"/>
      <c r="N114" s="22"/>
      <c r="O114" s="19"/>
      <c r="P114" s="23" t="str">
        <f aca="false">IF(I114&gt;0,K114/I114,"")</f>
        <v/>
      </c>
      <c r="Q114" s="20" t="str">
        <f aca="false">IF(K114&gt;0,H114/K114,"")</f>
        <v/>
      </c>
      <c r="R114" s="20" t="str">
        <f aca="false">IF(I114&gt;0,H114/I114*1000,"")</f>
        <v/>
      </c>
      <c r="S114" s="23" t="str">
        <f aca="false">IF(K114&gt;0,N114/K114,"")</f>
        <v/>
      </c>
      <c r="T114" s="20" t="str">
        <f aca="false">IF(N114&gt;0,H114/N114,"")</f>
        <v/>
      </c>
      <c r="U114" s="18" t="str">
        <f aca="false">IF(H114&gt;0,O114/H114,"")</f>
        <v/>
      </c>
      <c r="V114" s="20" t="str">
        <f aca="false">IF(N114&gt;0,O114/N114,"")</f>
        <v/>
      </c>
      <c r="W114" s="20" t="str">
        <f aca="false">IF(H114&gt;0,O114*الإعدادات!$B$5-H114,"")</f>
        <v/>
      </c>
      <c r="X114" s="23" t="str">
        <f aca="false">IF(AND(I114&gt;0,A114&lt;&gt;""),P114-IFERROR(INDEX(الإعدادات!$B$15:$B$18,MATCH(A114,الإعدادات!$A$15:$A$18,0)),0),"")</f>
        <v/>
      </c>
      <c r="Y114" s="12" t="str">
        <f aca="false">IF(H114="","",IF(H114&lt;الإعدادات!$B$9,"بيانات غير كافية — انتظر",IF(N114=0,"إيقاف أو إعادة بناء (إنفاق بلا مبيعات)",IF(H114/N114&gt;الإعدادات!$B$8*1.5,"خفض الميزانية + اختبار إبداعات جديدة",IF(O114/H114&gt;=الإعدادات!$B$6*1.2,"توسيع الميزانية تدريجياً",IF(O114/H114&gt;=الإعدادات!$B$7,IF(AND(X114&lt;&gt;"",X114&lt;0),"رابحة — حدّث الإبداعات لرفع CTR","رابحة — حافظ وحسّن"),"تحت التعادل — حسّن الصفحة/العرض أو أوقف"))))))</f>
        <v/>
      </c>
    </row>
    <row r="115" customFormat="false" ht="15" hidden="false" customHeight="false" outlineLevel="0" collapsed="false">
      <c r="A115" s="14"/>
      <c r="B115" s="14"/>
      <c r="C115" s="14"/>
      <c r="D115" s="14"/>
      <c r="E115" s="14"/>
      <c r="F115" s="14"/>
      <c r="G115" s="14"/>
      <c r="H115" s="19"/>
      <c r="I115" s="22"/>
      <c r="J115" s="22"/>
      <c r="K115" s="22"/>
      <c r="L115" s="22"/>
      <c r="M115" s="22"/>
      <c r="N115" s="22"/>
      <c r="O115" s="19"/>
      <c r="P115" s="23" t="str">
        <f aca="false">IF(I115&gt;0,K115/I115,"")</f>
        <v/>
      </c>
      <c r="Q115" s="20" t="str">
        <f aca="false">IF(K115&gt;0,H115/K115,"")</f>
        <v/>
      </c>
      <c r="R115" s="20" t="str">
        <f aca="false">IF(I115&gt;0,H115/I115*1000,"")</f>
        <v/>
      </c>
      <c r="S115" s="23" t="str">
        <f aca="false">IF(K115&gt;0,N115/K115,"")</f>
        <v/>
      </c>
      <c r="T115" s="20" t="str">
        <f aca="false">IF(N115&gt;0,H115/N115,"")</f>
        <v/>
      </c>
      <c r="U115" s="18" t="str">
        <f aca="false">IF(H115&gt;0,O115/H115,"")</f>
        <v/>
      </c>
      <c r="V115" s="20" t="str">
        <f aca="false">IF(N115&gt;0,O115/N115,"")</f>
        <v/>
      </c>
      <c r="W115" s="20" t="str">
        <f aca="false">IF(H115&gt;0,O115*الإعدادات!$B$5-H115,"")</f>
        <v/>
      </c>
      <c r="X115" s="23" t="str">
        <f aca="false">IF(AND(I115&gt;0,A115&lt;&gt;""),P115-IFERROR(INDEX(الإعدادات!$B$15:$B$18,MATCH(A115,الإعدادات!$A$15:$A$18,0)),0),"")</f>
        <v/>
      </c>
      <c r="Y115" s="12" t="str">
        <f aca="false">IF(H115="","",IF(H115&lt;الإعدادات!$B$9,"بيانات غير كافية — انتظر",IF(N115=0,"إيقاف أو إعادة بناء (إنفاق بلا مبيعات)",IF(H115/N115&gt;الإعدادات!$B$8*1.5,"خفض الميزانية + اختبار إبداعات جديدة",IF(O115/H115&gt;=الإعدادات!$B$6*1.2,"توسيع الميزانية تدريجياً",IF(O115/H115&gt;=الإعدادات!$B$7,IF(AND(X115&lt;&gt;"",X115&lt;0),"رابحة — حدّث الإبداعات لرفع CTR","رابحة — حافظ وحسّن"),"تحت التعادل — حسّن الصفحة/العرض أو أوقف"))))))</f>
        <v/>
      </c>
    </row>
    <row r="116" customFormat="false" ht="15" hidden="false" customHeight="false" outlineLevel="0" collapsed="false">
      <c r="A116" s="14"/>
      <c r="B116" s="14"/>
      <c r="C116" s="14"/>
      <c r="D116" s="14"/>
      <c r="E116" s="14"/>
      <c r="F116" s="14"/>
      <c r="G116" s="14"/>
      <c r="H116" s="19"/>
      <c r="I116" s="22"/>
      <c r="J116" s="22"/>
      <c r="K116" s="22"/>
      <c r="L116" s="22"/>
      <c r="M116" s="22"/>
      <c r="N116" s="22"/>
      <c r="O116" s="19"/>
      <c r="P116" s="23" t="str">
        <f aca="false">IF(I116&gt;0,K116/I116,"")</f>
        <v/>
      </c>
      <c r="Q116" s="20" t="str">
        <f aca="false">IF(K116&gt;0,H116/K116,"")</f>
        <v/>
      </c>
      <c r="R116" s="20" t="str">
        <f aca="false">IF(I116&gt;0,H116/I116*1000,"")</f>
        <v/>
      </c>
      <c r="S116" s="23" t="str">
        <f aca="false">IF(K116&gt;0,N116/K116,"")</f>
        <v/>
      </c>
      <c r="T116" s="20" t="str">
        <f aca="false">IF(N116&gt;0,H116/N116,"")</f>
        <v/>
      </c>
      <c r="U116" s="18" t="str">
        <f aca="false">IF(H116&gt;0,O116/H116,"")</f>
        <v/>
      </c>
      <c r="V116" s="20" t="str">
        <f aca="false">IF(N116&gt;0,O116/N116,"")</f>
        <v/>
      </c>
      <c r="W116" s="20" t="str">
        <f aca="false">IF(H116&gt;0,O116*الإعدادات!$B$5-H116,"")</f>
        <v/>
      </c>
      <c r="X116" s="23" t="str">
        <f aca="false">IF(AND(I116&gt;0,A116&lt;&gt;""),P116-IFERROR(INDEX(الإعدادات!$B$15:$B$18,MATCH(A116,الإعدادات!$A$15:$A$18,0)),0),"")</f>
        <v/>
      </c>
      <c r="Y116" s="12" t="str">
        <f aca="false">IF(H116="","",IF(H116&lt;الإعدادات!$B$9,"بيانات غير كافية — انتظر",IF(N116=0,"إيقاف أو إعادة بناء (إنفاق بلا مبيعات)",IF(H116/N116&gt;الإعدادات!$B$8*1.5,"خفض الميزانية + اختبار إبداعات جديدة",IF(O116/H116&gt;=الإعدادات!$B$6*1.2,"توسيع الميزانية تدريجياً",IF(O116/H116&gt;=الإعدادات!$B$7,IF(AND(X116&lt;&gt;"",X116&lt;0),"رابحة — حدّث الإبداعات لرفع CTR","رابحة — حافظ وحسّن"),"تحت التعادل — حسّن الصفحة/العرض أو أوقف"))))))</f>
        <v/>
      </c>
    </row>
    <row r="117" customFormat="false" ht="15" hidden="false" customHeight="false" outlineLevel="0" collapsed="false">
      <c r="A117" s="14"/>
      <c r="B117" s="14"/>
      <c r="C117" s="14"/>
      <c r="D117" s="14"/>
      <c r="E117" s="14"/>
      <c r="F117" s="14"/>
      <c r="G117" s="14"/>
      <c r="H117" s="19"/>
      <c r="I117" s="22"/>
      <c r="J117" s="22"/>
      <c r="K117" s="22"/>
      <c r="L117" s="22"/>
      <c r="M117" s="22"/>
      <c r="N117" s="22"/>
      <c r="O117" s="19"/>
      <c r="P117" s="23" t="str">
        <f aca="false">IF(I117&gt;0,K117/I117,"")</f>
        <v/>
      </c>
      <c r="Q117" s="20" t="str">
        <f aca="false">IF(K117&gt;0,H117/K117,"")</f>
        <v/>
      </c>
      <c r="R117" s="20" t="str">
        <f aca="false">IF(I117&gt;0,H117/I117*1000,"")</f>
        <v/>
      </c>
      <c r="S117" s="23" t="str">
        <f aca="false">IF(K117&gt;0,N117/K117,"")</f>
        <v/>
      </c>
      <c r="T117" s="20" t="str">
        <f aca="false">IF(N117&gt;0,H117/N117,"")</f>
        <v/>
      </c>
      <c r="U117" s="18" t="str">
        <f aca="false">IF(H117&gt;0,O117/H117,"")</f>
        <v/>
      </c>
      <c r="V117" s="20" t="str">
        <f aca="false">IF(N117&gt;0,O117/N117,"")</f>
        <v/>
      </c>
      <c r="W117" s="20" t="str">
        <f aca="false">IF(H117&gt;0,O117*الإعدادات!$B$5-H117,"")</f>
        <v/>
      </c>
      <c r="X117" s="23" t="str">
        <f aca="false">IF(AND(I117&gt;0,A117&lt;&gt;""),P117-IFERROR(INDEX(الإعدادات!$B$15:$B$18,MATCH(A117,الإعدادات!$A$15:$A$18,0)),0),"")</f>
        <v/>
      </c>
      <c r="Y117" s="12" t="str">
        <f aca="false">IF(H117="","",IF(H117&lt;الإعدادات!$B$9,"بيانات غير كافية — انتظر",IF(N117=0,"إيقاف أو إعادة بناء (إنفاق بلا مبيعات)",IF(H117/N117&gt;الإعدادات!$B$8*1.5,"خفض الميزانية + اختبار إبداعات جديدة",IF(O117/H117&gt;=الإعدادات!$B$6*1.2,"توسيع الميزانية تدريجياً",IF(O117/H117&gt;=الإعدادات!$B$7,IF(AND(X117&lt;&gt;"",X117&lt;0),"رابحة — حدّث الإبداعات لرفع CTR","رابحة — حافظ وحسّن"),"تحت التعادل — حسّن الصفحة/العرض أو أوقف"))))))</f>
        <v/>
      </c>
    </row>
    <row r="118" customFormat="false" ht="15" hidden="false" customHeight="false" outlineLevel="0" collapsed="false">
      <c r="A118" s="14"/>
      <c r="B118" s="14"/>
      <c r="C118" s="14"/>
      <c r="D118" s="14"/>
      <c r="E118" s="14"/>
      <c r="F118" s="14"/>
      <c r="G118" s="14"/>
      <c r="H118" s="19"/>
      <c r="I118" s="22"/>
      <c r="J118" s="22"/>
      <c r="K118" s="22"/>
      <c r="L118" s="22"/>
      <c r="M118" s="22"/>
      <c r="N118" s="22"/>
      <c r="O118" s="19"/>
      <c r="P118" s="23" t="str">
        <f aca="false">IF(I118&gt;0,K118/I118,"")</f>
        <v/>
      </c>
      <c r="Q118" s="20" t="str">
        <f aca="false">IF(K118&gt;0,H118/K118,"")</f>
        <v/>
      </c>
      <c r="R118" s="20" t="str">
        <f aca="false">IF(I118&gt;0,H118/I118*1000,"")</f>
        <v/>
      </c>
      <c r="S118" s="23" t="str">
        <f aca="false">IF(K118&gt;0,N118/K118,"")</f>
        <v/>
      </c>
      <c r="T118" s="20" t="str">
        <f aca="false">IF(N118&gt;0,H118/N118,"")</f>
        <v/>
      </c>
      <c r="U118" s="18" t="str">
        <f aca="false">IF(H118&gt;0,O118/H118,"")</f>
        <v/>
      </c>
      <c r="V118" s="20" t="str">
        <f aca="false">IF(N118&gt;0,O118/N118,"")</f>
        <v/>
      </c>
      <c r="W118" s="20" t="str">
        <f aca="false">IF(H118&gt;0,O118*الإعدادات!$B$5-H118,"")</f>
        <v/>
      </c>
      <c r="X118" s="23" t="str">
        <f aca="false">IF(AND(I118&gt;0,A118&lt;&gt;""),P118-IFERROR(INDEX(الإعدادات!$B$15:$B$18,MATCH(A118,الإعدادات!$A$15:$A$18,0)),0),"")</f>
        <v/>
      </c>
      <c r="Y118" s="12" t="str">
        <f aca="false">IF(H118="","",IF(H118&lt;الإعدادات!$B$9,"بيانات غير كافية — انتظر",IF(N118=0,"إيقاف أو إعادة بناء (إنفاق بلا مبيعات)",IF(H118/N118&gt;الإعدادات!$B$8*1.5,"خفض الميزانية + اختبار إبداعات جديدة",IF(O118/H118&gt;=الإعدادات!$B$6*1.2,"توسيع الميزانية تدريجياً",IF(O118/H118&gt;=الإعدادات!$B$7,IF(AND(X118&lt;&gt;"",X118&lt;0),"رابحة — حدّث الإبداعات لرفع CTR","رابحة — حافظ وحسّن"),"تحت التعادل — حسّن الصفحة/العرض أو أوقف"))))))</f>
        <v/>
      </c>
    </row>
    <row r="119" customFormat="false" ht="15" hidden="false" customHeight="false" outlineLevel="0" collapsed="false">
      <c r="A119" s="14"/>
      <c r="B119" s="14"/>
      <c r="C119" s="14"/>
      <c r="D119" s="14"/>
      <c r="E119" s="14"/>
      <c r="F119" s="14"/>
      <c r="G119" s="14"/>
      <c r="H119" s="19"/>
      <c r="I119" s="22"/>
      <c r="J119" s="22"/>
      <c r="K119" s="22"/>
      <c r="L119" s="22"/>
      <c r="M119" s="22"/>
      <c r="N119" s="22"/>
      <c r="O119" s="19"/>
      <c r="P119" s="23" t="str">
        <f aca="false">IF(I119&gt;0,K119/I119,"")</f>
        <v/>
      </c>
      <c r="Q119" s="20" t="str">
        <f aca="false">IF(K119&gt;0,H119/K119,"")</f>
        <v/>
      </c>
      <c r="R119" s="20" t="str">
        <f aca="false">IF(I119&gt;0,H119/I119*1000,"")</f>
        <v/>
      </c>
      <c r="S119" s="23" t="str">
        <f aca="false">IF(K119&gt;0,N119/K119,"")</f>
        <v/>
      </c>
      <c r="T119" s="20" t="str">
        <f aca="false">IF(N119&gt;0,H119/N119,"")</f>
        <v/>
      </c>
      <c r="U119" s="18" t="str">
        <f aca="false">IF(H119&gt;0,O119/H119,"")</f>
        <v/>
      </c>
      <c r="V119" s="20" t="str">
        <f aca="false">IF(N119&gt;0,O119/N119,"")</f>
        <v/>
      </c>
      <c r="W119" s="20" t="str">
        <f aca="false">IF(H119&gt;0,O119*الإعدادات!$B$5-H119,"")</f>
        <v/>
      </c>
      <c r="X119" s="23" t="str">
        <f aca="false">IF(AND(I119&gt;0,A119&lt;&gt;""),P119-IFERROR(INDEX(الإعدادات!$B$15:$B$18,MATCH(A119,الإعدادات!$A$15:$A$18,0)),0),"")</f>
        <v/>
      </c>
      <c r="Y119" s="12" t="str">
        <f aca="false">IF(H119="","",IF(H119&lt;الإعدادات!$B$9,"بيانات غير كافية — انتظر",IF(N119=0,"إيقاف أو إعادة بناء (إنفاق بلا مبيعات)",IF(H119/N119&gt;الإعدادات!$B$8*1.5,"خفض الميزانية + اختبار إبداعات جديدة",IF(O119/H119&gt;=الإعدادات!$B$6*1.2,"توسيع الميزانية تدريجياً",IF(O119/H119&gt;=الإعدادات!$B$7,IF(AND(X119&lt;&gt;"",X119&lt;0),"رابحة — حدّث الإبداعات لرفع CTR","رابحة — حافظ وحسّن"),"تحت التعادل — حسّن الصفحة/العرض أو أوقف"))))))</f>
        <v/>
      </c>
    </row>
    <row r="120" customFormat="false" ht="15" hidden="false" customHeight="false" outlineLevel="0" collapsed="false">
      <c r="A120" s="14"/>
      <c r="B120" s="14"/>
      <c r="C120" s="14"/>
      <c r="D120" s="14"/>
      <c r="E120" s="14"/>
      <c r="F120" s="14"/>
      <c r="G120" s="14"/>
      <c r="H120" s="19"/>
      <c r="I120" s="22"/>
      <c r="J120" s="22"/>
      <c r="K120" s="22"/>
      <c r="L120" s="22"/>
      <c r="M120" s="22"/>
      <c r="N120" s="22"/>
      <c r="O120" s="19"/>
      <c r="P120" s="23" t="str">
        <f aca="false">IF(I120&gt;0,K120/I120,"")</f>
        <v/>
      </c>
      <c r="Q120" s="20" t="str">
        <f aca="false">IF(K120&gt;0,H120/K120,"")</f>
        <v/>
      </c>
      <c r="R120" s="20" t="str">
        <f aca="false">IF(I120&gt;0,H120/I120*1000,"")</f>
        <v/>
      </c>
      <c r="S120" s="23" t="str">
        <f aca="false">IF(K120&gt;0,N120/K120,"")</f>
        <v/>
      </c>
      <c r="T120" s="20" t="str">
        <f aca="false">IF(N120&gt;0,H120/N120,"")</f>
        <v/>
      </c>
      <c r="U120" s="18" t="str">
        <f aca="false">IF(H120&gt;0,O120/H120,"")</f>
        <v/>
      </c>
      <c r="V120" s="20" t="str">
        <f aca="false">IF(N120&gt;0,O120/N120,"")</f>
        <v/>
      </c>
      <c r="W120" s="20" t="str">
        <f aca="false">IF(H120&gt;0,O120*الإعدادات!$B$5-H120,"")</f>
        <v/>
      </c>
      <c r="X120" s="23" t="str">
        <f aca="false">IF(AND(I120&gt;0,A120&lt;&gt;""),P120-IFERROR(INDEX(الإعدادات!$B$15:$B$18,MATCH(A120,الإعدادات!$A$15:$A$18,0)),0),"")</f>
        <v/>
      </c>
      <c r="Y120" s="12" t="str">
        <f aca="false">IF(H120="","",IF(H120&lt;الإعدادات!$B$9,"بيانات غير كافية — انتظر",IF(N120=0,"إيقاف أو إعادة بناء (إنفاق بلا مبيعات)",IF(H120/N120&gt;الإعدادات!$B$8*1.5,"خفض الميزانية + اختبار إبداعات جديدة",IF(O120/H120&gt;=الإعدادات!$B$6*1.2,"توسيع الميزانية تدريجياً",IF(O120/H120&gt;=الإعدادات!$B$7,IF(AND(X120&lt;&gt;"",X120&lt;0),"رابحة — حدّث الإبداعات لرفع CTR","رابحة — حافظ وحسّن"),"تحت التعادل — حسّن الصفحة/العرض أو أوقف"))))))</f>
        <v/>
      </c>
    </row>
    <row r="121" customFormat="false" ht="15" hidden="false" customHeight="false" outlineLevel="0" collapsed="false">
      <c r="A121" s="14"/>
      <c r="B121" s="14"/>
      <c r="C121" s="14"/>
      <c r="D121" s="14"/>
      <c r="E121" s="14"/>
      <c r="F121" s="14"/>
      <c r="G121" s="14"/>
      <c r="H121" s="19"/>
      <c r="I121" s="22"/>
      <c r="J121" s="22"/>
      <c r="K121" s="22"/>
      <c r="L121" s="22"/>
      <c r="M121" s="22"/>
      <c r="N121" s="22"/>
      <c r="O121" s="19"/>
      <c r="P121" s="23" t="str">
        <f aca="false">IF(I121&gt;0,K121/I121,"")</f>
        <v/>
      </c>
      <c r="Q121" s="20" t="str">
        <f aca="false">IF(K121&gt;0,H121/K121,"")</f>
        <v/>
      </c>
      <c r="R121" s="20" t="str">
        <f aca="false">IF(I121&gt;0,H121/I121*1000,"")</f>
        <v/>
      </c>
      <c r="S121" s="23" t="str">
        <f aca="false">IF(K121&gt;0,N121/K121,"")</f>
        <v/>
      </c>
      <c r="T121" s="20" t="str">
        <f aca="false">IF(N121&gt;0,H121/N121,"")</f>
        <v/>
      </c>
      <c r="U121" s="18" t="str">
        <f aca="false">IF(H121&gt;0,O121/H121,"")</f>
        <v/>
      </c>
      <c r="V121" s="20" t="str">
        <f aca="false">IF(N121&gt;0,O121/N121,"")</f>
        <v/>
      </c>
      <c r="W121" s="20" t="str">
        <f aca="false">IF(H121&gt;0,O121*الإعدادات!$B$5-H121,"")</f>
        <v/>
      </c>
      <c r="X121" s="23" t="str">
        <f aca="false">IF(AND(I121&gt;0,A121&lt;&gt;""),P121-IFERROR(INDEX(الإعدادات!$B$15:$B$18,MATCH(A121,الإعدادات!$A$15:$A$18,0)),0),"")</f>
        <v/>
      </c>
      <c r="Y121" s="12" t="str">
        <f aca="false">IF(H121="","",IF(H121&lt;الإعدادات!$B$9,"بيانات غير كافية — انتظر",IF(N121=0,"إيقاف أو إعادة بناء (إنفاق بلا مبيعات)",IF(H121/N121&gt;الإعدادات!$B$8*1.5,"خفض الميزانية + اختبار إبداعات جديدة",IF(O121/H121&gt;=الإعدادات!$B$6*1.2,"توسيع الميزانية تدريجياً",IF(O121/H121&gt;=الإعدادات!$B$7,IF(AND(X121&lt;&gt;"",X121&lt;0),"رابحة — حدّث الإبداعات لرفع CTR","رابحة — حافظ وحسّن"),"تحت التعادل — حسّن الصفحة/العرض أو أوقف"))))))</f>
        <v/>
      </c>
    </row>
    <row r="122" customFormat="false" ht="15" hidden="false" customHeight="false" outlineLevel="0" collapsed="false">
      <c r="A122" s="14"/>
      <c r="B122" s="14"/>
      <c r="C122" s="14"/>
      <c r="D122" s="14"/>
      <c r="E122" s="14"/>
      <c r="F122" s="14"/>
      <c r="G122" s="14"/>
      <c r="H122" s="19"/>
      <c r="I122" s="22"/>
      <c r="J122" s="22"/>
      <c r="K122" s="22"/>
      <c r="L122" s="22"/>
      <c r="M122" s="22"/>
      <c r="N122" s="22"/>
      <c r="O122" s="19"/>
      <c r="P122" s="23" t="str">
        <f aca="false">IF(I122&gt;0,K122/I122,"")</f>
        <v/>
      </c>
      <c r="Q122" s="20" t="str">
        <f aca="false">IF(K122&gt;0,H122/K122,"")</f>
        <v/>
      </c>
      <c r="R122" s="20" t="str">
        <f aca="false">IF(I122&gt;0,H122/I122*1000,"")</f>
        <v/>
      </c>
      <c r="S122" s="23" t="str">
        <f aca="false">IF(K122&gt;0,N122/K122,"")</f>
        <v/>
      </c>
      <c r="T122" s="20" t="str">
        <f aca="false">IF(N122&gt;0,H122/N122,"")</f>
        <v/>
      </c>
      <c r="U122" s="18" t="str">
        <f aca="false">IF(H122&gt;0,O122/H122,"")</f>
        <v/>
      </c>
      <c r="V122" s="20" t="str">
        <f aca="false">IF(N122&gt;0,O122/N122,"")</f>
        <v/>
      </c>
      <c r="W122" s="20" t="str">
        <f aca="false">IF(H122&gt;0,O122*الإعدادات!$B$5-H122,"")</f>
        <v/>
      </c>
      <c r="X122" s="23" t="str">
        <f aca="false">IF(AND(I122&gt;0,A122&lt;&gt;""),P122-IFERROR(INDEX(الإعدادات!$B$15:$B$18,MATCH(A122,الإعدادات!$A$15:$A$18,0)),0),"")</f>
        <v/>
      </c>
      <c r="Y122" s="12" t="str">
        <f aca="false">IF(H122="","",IF(H122&lt;الإعدادات!$B$9,"بيانات غير كافية — انتظر",IF(N122=0,"إيقاف أو إعادة بناء (إنفاق بلا مبيعات)",IF(H122/N122&gt;الإعدادات!$B$8*1.5,"خفض الميزانية + اختبار إبداعات جديدة",IF(O122/H122&gt;=الإعدادات!$B$6*1.2,"توسيع الميزانية تدريجياً",IF(O122/H122&gt;=الإعدادات!$B$7,IF(AND(X122&lt;&gt;"",X122&lt;0),"رابحة — حدّث الإبداعات لرفع CTR","رابحة — حافظ وحسّن"),"تحت التعادل — حسّن الصفحة/العرض أو أوقف"))))))</f>
        <v/>
      </c>
    </row>
    <row r="123" customFormat="false" ht="15" hidden="false" customHeight="false" outlineLevel="0" collapsed="false">
      <c r="A123" s="14"/>
      <c r="B123" s="14"/>
      <c r="C123" s="14"/>
      <c r="D123" s="14"/>
      <c r="E123" s="14"/>
      <c r="F123" s="14"/>
      <c r="G123" s="14"/>
      <c r="H123" s="19"/>
      <c r="I123" s="22"/>
      <c r="J123" s="22"/>
      <c r="K123" s="22"/>
      <c r="L123" s="22"/>
      <c r="M123" s="22"/>
      <c r="N123" s="22"/>
      <c r="O123" s="19"/>
      <c r="P123" s="23" t="str">
        <f aca="false">IF(I123&gt;0,K123/I123,"")</f>
        <v/>
      </c>
      <c r="Q123" s="20" t="str">
        <f aca="false">IF(K123&gt;0,H123/K123,"")</f>
        <v/>
      </c>
      <c r="R123" s="20" t="str">
        <f aca="false">IF(I123&gt;0,H123/I123*1000,"")</f>
        <v/>
      </c>
      <c r="S123" s="23" t="str">
        <f aca="false">IF(K123&gt;0,N123/K123,"")</f>
        <v/>
      </c>
      <c r="T123" s="20" t="str">
        <f aca="false">IF(N123&gt;0,H123/N123,"")</f>
        <v/>
      </c>
      <c r="U123" s="18" t="str">
        <f aca="false">IF(H123&gt;0,O123/H123,"")</f>
        <v/>
      </c>
      <c r="V123" s="20" t="str">
        <f aca="false">IF(N123&gt;0,O123/N123,"")</f>
        <v/>
      </c>
      <c r="W123" s="20" t="str">
        <f aca="false">IF(H123&gt;0,O123*الإعدادات!$B$5-H123,"")</f>
        <v/>
      </c>
      <c r="X123" s="23" t="str">
        <f aca="false">IF(AND(I123&gt;0,A123&lt;&gt;""),P123-IFERROR(INDEX(الإعدادات!$B$15:$B$18,MATCH(A123,الإعدادات!$A$15:$A$18,0)),0),"")</f>
        <v/>
      </c>
      <c r="Y123" s="12" t="str">
        <f aca="false">IF(H123="","",IF(H123&lt;الإعدادات!$B$9,"بيانات غير كافية — انتظر",IF(N123=0,"إيقاف أو إعادة بناء (إنفاق بلا مبيعات)",IF(H123/N123&gt;الإعدادات!$B$8*1.5,"خفض الميزانية + اختبار إبداعات جديدة",IF(O123/H123&gt;=الإعدادات!$B$6*1.2,"توسيع الميزانية تدريجياً",IF(O123/H123&gt;=الإعدادات!$B$7,IF(AND(X123&lt;&gt;"",X123&lt;0),"رابحة — حدّث الإبداعات لرفع CTR","رابحة — حافظ وحسّن"),"تحت التعادل — حسّن الصفحة/العرض أو أوقف"))))))</f>
        <v/>
      </c>
    </row>
    <row r="124" customFormat="false" ht="15" hidden="false" customHeight="false" outlineLevel="0" collapsed="false">
      <c r="A124" s="14"/>
      <c r="B124" s="14"/>
      <c r="C124" s="14"/>
      <c r="D124" s="14"/>
      <c r="E124" s="14"/>
      <c r="F124" s="14"/>
      <c r="G124" s="14"/>
      <c r="H124" s="19"/>
      <c r="I124" s="22"/>
      <c r="J124" s="22"/>
      <c r="K124" s="22"/>
      <c r="L124" s="22"/>
      <c r="M124" s="22"/>
      <c r="N124" s="22"/>
      <c r="O124" s="19"/>
      <c r="P124" s="23" t="str">
        <f aca="false">IF(I124&gt;0,K124/I124,"")</f>
        <v/>
      </c>
      <c r="Q124" s="20" t="str">
        <f aca="false">IF(K124&gt;0,H124/K124,"")</f>
        <v/>
      </c>
      <c r="R124" s="20" t="str">
        <f aca="false">IF(I124&gt;0,H124/I124*1000,"")</f>
        <v/>
      </c>
      <c r="S124" s="23" t="str">
        <f aca="false">IF(K124&gt;0,N124/K124,"")</f>
        <v/>
      </c>
      <c r="T124" s="20" t="str">
        <f aca="false">IF(N124&gt;0,H124/N124,"")</f>
        <v/>
      </c>
      <c r="U124" s="18" t="str">
        <f aca="false">IF(H124&gt;0,O124/H124,"")</f>
        <v/>
      </c>
      <c r="V124" s="20" t="str">
        <f aca="false">IF(N124&gt;0,O124/N124,"")</f>
        <v/>
      </c>
      <c r="W124" s="20" t="str">
        <f aca="false">IF(H124&gt;0,O124*الإعدادات!$B$5-H124,"")</f>
        <v/>
      </c>
      <c r="X124" s="23" t="str">
        <f aca="false">IF(AND(I124&gt;0,A124&lt;&gt;""),P124-IFERROR(INDEX(الإعدادات!$B$15:$B$18,MATCH(A124,الإعدادات!$A$15:$A$18,0)),0),"")</f>
        <v/>
      </c>
      <c r="Y124" s="12" t="str">
        <f aca="false">IF(H124="","",IF(H124&lt;الإعدادات!$B$9,"بيانات غير كافية — انتظر",IF(N124=0,"إيقاف أو إعادة بناء (إنفاق بلا مبيعات)",IF(H124/N124&gt;الإعدادات!$B$8*1.5,"خفض الميزانية + اختبار إبداعات جديدة",IF(O124/H124&gt;=الإعدادات!$B$6*1.2,"توسيع الميزانية تدريجياً",IF(O124/H124&gt;=الإعدادات!$B$7,IF(AND(X124&lt;&gt;"",X124&lt;0),"رابحة — حدّث الإبداعات لرفع CTR","رابحة — حافظ وحسّن"),"تحت التعادل — حسّن الصفحة/العرض أو أوقف"))))))</f>
        <v/>
      </c>
    </row>
    <row r="125" customFormat="false" ht="15" hidden="false" customHeight="false" outlineLevel="0" collapsed="false">
      <c r="A125" s="14"/>
      <c r="B125" s="14"/>
      <c r="C125" s="14"/>
      <c r="D125" s="14"/>
      <c r="E125" s="14"/>
      <c r="F125" s="14"/>
      <c r="G125" s="14"/>
      <c r="H125" s="19"/>
      <c r="I125" s="22"/>
      <c r="J125" s="22"/>
      <c r="K125" s="22"/>
      <c r="L125" s="22"/>
      <c r="M125" s="22"/>
      <c r="N125" s="22"/>
      <c r="O125" s="19"/>
      <c r="P125" s="23" t="str">
        <f aca="false">IF(I125&gt;0,K125/I125,"")</f>
        <v/>
      </c>
      <c r="Q125" s="20" t="str">
        <f aca="false">IF(K125&gt;0,H125/K125,"")</f>
        <v/>
      </c>
      <c r="R125" s="20" t="str">
        <f aca="false">IF(I125&gt;0,H125/I125*1000,"")</f>
        <v/>
      </c>
      <c r="S125" s="23" t="str">
        <f aca="false">IF(K125&gt;0,N125/K125,"")</f>
        <v/>
      </c>
      <c r="T125" s="20" t="str">
        <f aca="false">IF(N125&gt;0,H125/N125,"")</f>
        <v/>
      </c>
      <c r="U125" s="18" t="str">
        <f aca="false">IF(H125&gt;0,O125/H125,"")</f>
        <v/>
      </c>
      <c r="V125" s="20" t="str">
        <f aca="false">IF(N125&gt;0,O125/N125,"")</f>
        <v/>
      </c>
      <c r="W125" s="20" t="str">
        <f aca="false">IF(H125&gt;0,O125*الإعدادات!$B$5-H125,"")</f>
        <v/>
      </c>
      <c r="X125" s="23" t="str">
        <f aca="false">IF(AND(I125&gt;0,A125&lt;&gt;""),P125-IFERROR(INDEX(الإعدادات!$B$15:$B$18,MATCH(A125,الإعدادات!$A$15:$A$18,0)),0),"")</f>
        <v/>
      </c>
      <c r="Y125" s="12" t="str">
        <f aca="false">IF(H125="","",IF(H125&lt;الإعدادات!$B$9,"بيانات غير كافية — انتظر",IF(N125=0,"إيقاف أو إعادة بناء (إنفاق بلا مبيعات)",IF(H125/N125&gt;الإعدادات!$B$8*1.5,"خفض الميزانية + اختبار إبداعات جديدة",IF(O125/H125&gt;=الإعدادات!$B$6*1.2,"توسيع الميزانية تدريجياً",IF(O125/H125&gt;=الإعدادات!$B$7,IF(AND(X125&lt;&gt;"",X125&lt;0),"رابحة — حدّث الإبداعات لرفع CTR","رابحة — حافظ وحسّن"),"تحت التعادل — حسّن الصفحة/العرض أو أوقف"))))))</f>
        <v/>
      </c>
    </row>
    <row r="126" customFormat="false" ht="15" hidden="false" customHeight="false" outlineLevel="0" collapsed="false">
      <c r="A126" s="14"/>
      <c r="B126" s="14"/>
      <c r="C126" s="14"/>
      <c r="D126" s="14"/>
      <c r="E126" s="14"/>
      <c r="F126" s="14"/>
      <c r="G126" s="14"/>
      <c r="H126" s="19"/>
      <c r="I126" s="22"/>
      <c r="J126" s="22"/>
      <c r="K126" s="22"/>
      <c r="L126" s="22"/>
      <c r="M126" s="22"/>
      <c r="N126" s="22"/>
      <c r="O126" s="19"/>
      <c r="P126" s="23" t="str">
        <f aca="false">IF(I126&gt;0,K126/I126,"")</f>
        <v/>
      </c>
      <c r="Q126" s="20" t="str">
        <f aca="false">IF(K126&gt;0,H126/K126,"")</f>
        <v/>
      </c>
      <c r="R126" s="20" t="str">
        <f aca="false">IF(I126&gt;0,H126/I126*1000,"")</f>
        <v/>
      </c>
      <c r="S126" s="23" t="str">
        <f aca="false">IF(K126&gt;0,N126/K126,"")</f>
        <v/>
      </c>
      <c r="T126" s="20" t="str">
        <f aca="false">IF(N126&gt;0,H126/N126,"")</f>
        <v/>
      </c>
      <c r="U126" s="18" t="str">
        <f aca="false">IF(H126&gt;0,O126/H126,"")</f>
        <v/>
      </c>
      <c r="V126" s="20" t="str">
        <f aca="false">IF(N126&gt;0,O126/N126,"")</f>
        <v/>
      </c>
      <c r="W126" s="20" t="str">
        <f aca="false">IF(H126&gt;0,O126*الإعدادات!$B$5-H126,"")</f>
        <v/>
      </c>
      <c r="X126" s="23" t="str">
        <f aca="false">IF(AND(I126&gt;0,A126&lt;&gt;""),P126-IFERROR(INDEX(الإعدادات!$B$15:$B$18,MATCH(A126,الإعدادات!$A$15:$A$18,0)),0),"")</f>
        <v/>
      </c>
      <c r="Y126" s="12" t="str">
        <f aca="false">IF(H126="","",IF(H126&lt;الإعدادات!$B$9,"بيانات غير كافية — انتظر",IF(N126=0,"إيقاف أو إعادة بناء (إنفاق بلا مبيعات)",IF(H126/N126&gt;الإعدادات!$B$8*1.5,"خفض الميزانية + اختبار إبداعات جديدة",IF(O126/H126&gt;=الإعدادات!$B$6*1.2,"توسيع الميزانية تدريجياً",IF(O126/H126&gt;=الإعدادات!$B$7,IF(AND(X126&lt;&gt;"",X126&lt;0),"رابحة — حدّث الإبداعات لرفع CTR","رابحة — حافظ وحسّن"),"تحت التعادل — حسّن الصفحة/العرض أو أوقف"))))))</f>
        <v/>
      </c>
    </row>
    <row r="127" customFormat="false" ht="15" hidden="false" customHeight="false" outlineLevel="0" collapsed="false">
      <c r="A127" s="14"/>
      <c r="B127" s="14"/>
      <c r="C127" s="14"/>
      <c r="D127" s="14"/>
      <c r="E127" s="14"/>
      <c r="F127" s="14"/>
      <c r="G127" s="14"/>
      <c r="H127" s="19"/>
      <c r="I127" s="22"/>
      <c r="J127" s="22"/>
      <c r="K127" s="22"/>
      <c r="L127" s="22"/>
      <c r="M127" s="22"/>
      <c r="N127" s="22"/>
      <c r="O127" s="19"/>
      <c r="P127" s="23" t="str">
        <f aca="false">IF(I127&gt;0,K127/I127,"")</f>
        <v/>
      </c>
      <c r="Q127" s="20" t="str">
        <f aca="false">IF(K127&gt;0,H127/K127,"")</f>
        <v/>
      </c>
      <c r="R127" s="20" t="str">
        <f aca="false">IF(I127&gt;0,H127/I127*1000,"")</f>
        <v/>
      </c>
      <c r="S127" s="23" t="str">
        <f aca="false">IF(K127&gt;0,N127/K127,"")</f>
        <v/>
      </c>
      <c r="T127" s="20" t="str">
        <f aca="false">IF(N127&gt;0,H127/N127,"")</f>
        <v/>
      </c>
      <c r="U127" s="18" t="str">
        <f aca="false">IF(H127&gt;0,O127/H127,"")</f>
        <v/>
      </c>
      <c r="V127" s="20" t="str">
        <f aca="false">IF(N127&gt;0,O127/N127,"")</f>
        <v/>
      </c>
      <c r="W127" s="20" t="str">
        <f aca="false">IF(H127&gt;0,O127*الإعدادات!$B$5-H127,"")</f>
        <v/>
      </c>
      <c r="X127" s="23" t="str">
        <f aca="false">IF(AND(I127&gt;0,A127&lt;&gt;""),P127-IFERROR(INDEX(الإعدادات!$B$15:$B$18,MATCH(A127,الإعدادات!$A$15:$A$18,0)),0),"")</f>
        <v/>
      </c>
      <c r="Y127" s="12" t="str">
        <f aca="false">IF(H127="","",IF(H127&lt;الإعدادات!$B$9,"بيانات غير كافية — انتظر",IF(N127=0,"إيقاف أو إعادة بناء (إنفاق بلا مبيعات)",IF(H127/N127&gt;الإعدادات!$B$8*1.5,"خفض الميزانية + اختبار إبداعات جديدة",IF(O127/H127&gt;=الإعدادات!$B$6*1.2,"توسيع الميزانية تدريجياً",IF(O127/H127&gt;=الإعدادات!$B$7,IF(AND(X127&lt;&gt;"",X127&lt;0),"رابحة — حدّث الإبداعات لرفع CTR","رابحة — حافظ وحسّن"),"تحت التعادل — حسّن الصفحة/العرض أو أوقف"))))))</f>
        <v/>
      </c>
    </row>
    <row r="128" customFormat="false" ht="15" hidden="false" customHeight="false" outlineLevel="0" collapsed="false">
      <c r="A128" s="14"/>
      <c r="B128" s="14"/>
      <c r="C128" s="14"/>
      <c r="D128" s="14"/>
      <c r="E128" s="14"/>
      <c r="F128" s="14"/>
      <c r="G128" s="14"/>
      <c r="H128" s="19"/>
      <c r="I128" s="22"/>
      <c r="J128" s="22"/>
      <c r="K128" s="22"/>
      <c r="L128" s="22"/>
      <c r="M128" s="22"/>
      <c r="N128" s="22"/>
      <c r="O128" s="19"/>
      <c r="P128" s="23" t="str">
        <f aca="false">IF(I128&gt;0,K128/I128,"")</f>
        <v/>
      </c>
      <c r="Q128" s="20" t="str">
        <f aca="false">IF(K128&gt;0,H128/K128,"")</f>
        <v/>
      </c>
      <c r="R128" s="20" t="str">
        <f aca="false">IF(I128&gt;0,H128/I128*1000,"")</f>
        <v/>
      </c>
      <c r="S128" s="23" t="str">
        <f aca="false">IF(K128&gt;0,N128/K128,"")</f>
        <v/>
      </c>
      <c r="T128" s="20" t="str">
        <f aca="false">IF(N128&gt;0,H128/N128,"")</f>
        <v/>
      </c>
      <c r="U128" s="18" t="str">
        <f aca="false">IF(H128&gt;0,O128/H128,"")</f>
        <v/>
      </c>
      <c r="V128" s="20" t="str">
        <f aca="false">IF(N128&gt;0,O128/N128,"")</f>
        <v/>
      </c>
      <c r="W128" s="20" t="str">
        <f aca="false">IF(H128&gt;0,O128*الإعدادات!$B$5-H128,"")</f>
        <v/>
      </c>
      <c r="X128" s="23" t="str">
        <f aca="false">IF(AND(I128&gt;0,A128&lt;&gt;""),P128-IFERROR(INDEX(الإعدادات!$B$15:$B$18,MATCH(A128,الإعدادات!$A$15:$A$18,0)),0),"")</f>
        <v/>
      </c>
      <c r="Y128" s="12" t="str">
        <f aca="false">IF(H128="","",IF(H128&lt;الإعدادات!$B$9,"بيانات غير كافية — انتظر",IF(N128=0,"إيقاف أو إعادة بناء (إنفاق بلا مبيعات)",IF(H128/N128&gt;الإعدادات!$B$8*1.5,"خفض الميزانية + اختبار إبداعات جديدة",IF(O128/H128&gt;=الإعدادات!$B$6*1.2,"توسيع الميزانية تدريجياً",IF(O128/H128&gt;=الإعدادات!$B$7,IF(AND(X128&lt;&gt;"",X128&lt;0),"رابحة — حدّث الإبداعات لرفع CTR","رابحة — حافظ وحسّن"),"تحت التعادل — حسّن الصفحة/العرض أو أوقف"))))))</f>
        <v/>
      </c>
    </row>
    <row r="129" customFormat="false" ht="15" hidden="false" customHeight="false" outlineLevel="0" collapsed="false">
      <c r="A129" s="14"/>
      <c r="B129" s="14"/>
      <c r="C129" s="14"/>
      <c r="D129" s="14"/>
      <c r="E129" s="14"/>
      <c r="F129" s="14"/>
      <c r="G129" s="14"/>
      <c r="H129" s="19"/>
      <c r="I129" s="22"/>
      <c r="J129" s="22"/>
      <c r="K129" s="22"/>
      <c r="L129" s="22"/>
      <c r="M129" s="22"/>
      <c r="N129" s="22"/>
      <c r="O129" s="19"/>
      <c r="P129" s="23" t="str">
        <f aca="false">IF(I129&gt;0,K129/I129,"")</f>
        <v/>
      </c>
      <c r="Q129" s="20" t="str">
        <f aca="false">IF(K129&gt;0,H129/K129,"")</f>
        <v/>
      </c>
      <c r="R129" s="20" t="str">
        <f aca="false">IF(I129&gt;0,H129/I129*1000,"")</f>
        <v/>
      </c>
      <c r="S129" s="23" t="str">
        <f aca="false">IF(K129&gt;0,N129/K129,"")</f>
        <v/>
      </c>
      <c r="T129" s="20" t="str">
        <f aca="false">IF(N129&gt;0,H129/N129,"")</f>
        <v/>
      </c>
      <c r="U129" s="18" t="str">
        <f aca="false">IF(H129&gt;0,O129/H129,"")</f>
        <v/>
      </c>
      <c r="V129" s="20" t="str">
        <f aca="false">IF(N129&gt;0,O129/N129,"")</f>
        <v/>
      </c>
      <c r="W129" s="20" t="str">
        <f aca="false">IF(H129&gt;0,O129*الإعدادات!$B$5-H129,"")</f>
        <v/>
      </c>
      <c r="X129" s="23" t="str">
        <f aca="false">IF(AND(I129&gt;0,A129&lt;&gt;""),P129-IFERROR(INDEX(الإعدادات!$B$15:$B$18,MATCH(A129,الإعدادات!$A$15:$A$18,0)),0),"")</f>
        <v/>
      </c>
      <c r="Y129" s="12" t="str">
        <f aca="false">IF(H129="","",IF(H129&lt;الإعدادات!$B$9,"بيانات غير كافية — انتظر",IF(N129=0,"إيقاف أو إعادة بناء (إنفاق بلا مبيعات)",IF(H129/N129&gt;الإعدادات!$B$8*1.5,"خفض الميزانية + اختبار إبداعات جديدة",IF(O129/H129&gt;=الإعدادات!$B$6*1.2,"توسيع الميزانية تدريجياً",IF(O129/H129&gt;=الإعدادات!$B$7,IF(AND(X129&lt;&gt;"",X129&lt;0),"رابحة — حدّث الإبداعات لرفع CTR","رابحة — حافظ وحسّن"),"تحت التعادل — حسّن الصفحة/العرض أو أوقف"))))))</f>
        <v/>
      </c>
    </row>
    <row r="130" customFormat="false" ht="15" hidden="false" customHeight="false" outlineLevel="0" collapsed="false">
      <c r="A130" s="14"/>
      <c r="B130" s="14"/>
      <c r="C130" s="14"/>
      <c r="D130" s="14"/>
      <c r="E130" s="14"/>
      <c r="F130" s="14"/>
      <c r="G130" s="14"/>
      <c r="H130" s="19"/>
      <c r="I130" s="22"/>
      <c r="J130" s="22"/>
      <c r="K130" s="22"/>
      <c r="L130" s="22"/>
      <c r="M130" s="22"/>
      <c r="N130" s="22"/>
      <c r="O130" s="19"/>
      <c r="P130" s="23" t="str">
        <f aca="false">IF(I130&gt;0,K130/I130,"")</f>
        <v/>
      </c>
      <c r="Q130" s="20" t="str">
        <f aca="false">IF(K130&gt;0,H130/K130,"")</f>
        <v/>
      </c>
      <c r="R130" s="20" t="str">
        <f aca="false">IF(I130&gt;0,H130/I130*1000,"")</f>
        <v/>
      </c>
      <c r="S130" s="23" t="str">
        <f aca="false">IF(K130&gt;0,N130/K130,"")</f>
        <v/>
      </c>
      <c r="T130" s="20" t="str">
        <f aca="false">IF(N130&gt;0,H130/N130,"")</f>
        <v/>
      </c>
      <c r="U130" s="18" t="str">
        <f aca="false">IF(H130&gt;0,O130/H130,"")</f>
        <v/>
      </c>
      <c r="V130" s="20" t="str">
        <f aca="false">IF(N130&gt;0,O130/N130,"")</f>
        <v/>
      </c>
      <c r="W130" s="20" t="str">
        <f aca="false">IF(H130&gt;0,O130*الإعدادات!$B$5-H130,"")</f>
        <v/>
      </c>
      <c r="X130" s="23" t="str">
        <f aca="false">IF(AND(I130&gt;0,A130&lt;&gt;""),P130-IFERROR(INDEX(الإعدادات!$B$15:$B$18,MATCH(A130,الإعدادات!$A$15:$A$18,0)),0),"")</f>
        <v/>
      </c>
      <c r="Y130" s="12" t="str">
        <f aca="false">IF(H130="","",IF(H130&lt;الإعدادات!$B$9,"بيانات غير كافية — انتظر",IF(N130=0,"إيقاف أو إعادة بناء (إنفاق بلا مبيعات)",IF(H130/N130&gt;الإعدادات!$B$8*1.5,"خفض الميزانية + اختبار إبداعات جديدة",IF(O130/H130&gt;=الإعدادات!$B$6*1.2,"توسيع الميزانية تدريجياً",IF(O130/H130&gt;=الإعدادات!$B$7,IF(AND(X130&lt;&gt;"",X130&lt;0),"رابحة — حدّث الإبداعات لرفع CTR","رابحة — حافظ وحسّن"),"تحت التعادل — حسّن الصفحة/العرض أو أوقف"))))))</f>
        <v/>
      </c>
    </row>
    <row r="131" customFormat="false" ht="15" hidden="false" customHeight="false" outlineLevel="0" collapsed="false">
      <c r="A131" s="14"/>
      <c r="B131" s="14"/>
      <c r="C131" s="14"/>
      <c r="D131" s="14"/>
      <c r="E131" s="14"/>
      <c r="F131" s="14"/>
      <c r="G131" s="14"/>
      <c r="H131" s="19"/>
      <c r="I131" s="22"/>
      <c r="J131" s="22"/>
      <c r="K131" s="22"/>
      <c r="L131" s="22"/>
      <c r="M131" s="22"/>
      <c r="N131" s="22"/>
      <c r="O131" s="19"/>
      <c r="P131" s="23" t="str">
        <f aca="false">IF(I131&gt;0,K131/I131,"")</f>
        <v/>
      </c>
      <c r="Q131" s="20" t="str">
        <f aca="false">IF(K131&gt;0,H131/K131,"")</f>
        <v/>
      </c>
      <c r="R131" s="20" t="str">
        <f aca="false">IF(I131&gt;0,H131/I131*1000,"")</f>
        <v/>
      </c>
      <c r="S131" s="23" t="str">
        <f aca="false">IF(K131&gt;0,N131/K131,"")</f>
        <v/>
      </c>
      <c r="T131" s="20" t="str">
        <f aca="false">IF(N131&gt;0,H131/N131,"")</f>
        <v/>
      </c>
      <c r="U131" s="18" t="str">
        <f aca="false">IF(H131&gt;0,O131/H131,"")</f>
        <v/>
      </c>
      <c r="V131" s="20" t="str">
        <f aca="false">IF(N131&gt;0,O131/N131,"")</f>
        <v/>
      </c>
      <c r="W131" s="20" t="str">
        <f aca="false">IF(H131&gt;0,O131*الإعدادات!$B$5-H131,"")</f>
        <v/>
      </c>
      <c r="X131" s="23" t="str">
        <f aca="false">IF(AND(I131&gt;0,A131&lt;&gt;""),P131-IFERROR(INDEX(الإعدادات!$B$15:$B$18,MATCH(A131,الإعدادات!$A$15:$A$18,0)),0),"")</f>
        <v/>
      </c>
      <c r="Y131" s="12" t="str">
        <f aca="false">IF(H131="","",IF(H131&lt;الإعدادات!$B$9,"بيانات غير كافية — انتظر",IF(N131=0,"إيقاف أو إعادة بناء (إنفاق بلا مبيعات)",IF(H131/N131&gt;الإعدادات!$B$8*1.5,"خفض الميزانية + اختبار إبداعات جديدة",IF(O131/H131&gt;=الإعدادات!$B$6*1.2,"توسيع الميزانية تدريجياً",IF(O131/H131&gt;=الإعدادات!$B$7,IF(AND(X131&lt;&gt;"",X131&lt;0),"رابحة — حدّث الإبداعات لرفع CTR","رابحة — حافظ وحسّن"),"تحت التعادل — حسّن الصفحة/العرض أو أوقف"))))))</f>
        <v/>
      </c>
    </row>
    <row r="132" customFormat="false" ht="15" hidden="false" customHeight="false" outlineLevel="0" collapsed="false">
      <c r="A132" s="14"/>
      <c r="B132" s="14"/>
      <c r="C132" s="14"/>
      <c r="D132" s="14"/>
      <c r="E132" s="14"/>
      <c r="F132" s="14"/>
      <c r="G132" s="14"/>
      <c r="H132" s="19"/>
      <c r="I132" s="22"/>
      <c r="J132" s="22"/>
      <c r="K132" s="22"/>
      <c r="L132" s="22"/>
      <c r="M132" s="22"/>
      <c r="N132" s="22"/>
      <c r="O132" s="19"/>
      <c r="P132" s="23" t="str">
        <f aca="false">IF(I132&gt;0,K132/I132,"")</f>
        <v/>
      </c>
      <c r="Q132" s="20" t="str">
        <f aca="false">IF(K132&gt;0,H132/K132,"")</f>
        <v/>
      </c>
      <c r="R132" s="20" t="str">
        <f aca="false">IF(I132&gt;0,H132/I132*1000,"")</f>
        <v/>
      </c>
      <c r="S132" s="23" t="str">
        <f aca="false">IF(K132&gt;0,N132/K132,"")</f>
        <v/>
      </c>
      <c r="T132" s="20" t="str">
        <f aca="false">IF(N132&gt;0,H132/N132,"")</f>
        <v/>
      </c>
      <c r="U132" s="18" t="str">
        <f aca="false">IF(H132&gt;0,O132/H132,"")</f>
        <v/>
      </c>
      <c r="V132" s="20" t="str">
        <f aca="false">IF(N132&gt;0,O132/N132,"")</f>
        <v/>
      </c>
      <c r="W132" s="20" t="str">
        <f aca="false">IF(H132&gt;0,O132*الإعدادات!$B$5-H132,"")</f>
        <v/>
      </c>
      <c r="X132" s="23" t="str">
        <f aca="false">IF(AND(I132&gt;0,A132&lt;&gt;""),P132-IFERROR(INDEX(الإعدادات!$B$15:$B$18,MATCH(A132,الإعدادات!$A$15:$A$18,0)),0),"")</f>
        <v/>
      </c>
      <c r="Y132" s="12" t="str">
        <f aca="false">IF(H132="","",IF(H132&lt;الإعدادات!$B$9,"بيانات غير كافية — انتظر",IF(N132=0,"إيقاف أو إعادة بناء (إنفاق بلا مبيعات)",IF(H132/N132&gt;الإعدادات!$B$8*1.5,"خفض الميزانية + اختبار إبداعات جديدة",IF(O132/H132&gt;=الإعدادات!$B$6*1.2,"توسيع الميزانية تدريجياً",IF(O132/H132&gt;=الإعدادات!$B$7,IF(AND(X132&lt;&gt;"",X132&lt;0),"رابحة — حدّث الإبداعات لرفع CTR","رابحة — حافظ وحسّن"),"تحت التعادل — حسّن الصفحة/العرض أو أوقف"))))))</f>
        <v/>
      </c>
    </row>
    <row r="133" customFormat="false" ht="15" hidden="false" customHeight="false" outlineLevel="0" collapsed="false">
      <c r="A133" s="14"/>
      <c r="B133" s="14"/>
      <c r="C133" s="14"/>
      <c r="D133" s="14"/>
      <c r="E133" s="14"/>
      <c r="F133" s="14"/>
      <c r="G133" s="14"/>
      <c r="H133" s="19"/>
      <c r="I133" s="22"/>
      <c r="J133" s="22"/>
      <c r="K133" s="22"/>
      <c r="L133" s="22"/>
      <c r="M133" s="22"/>
      <c r="N133" s="22"/>
      <c r="O133" s="19"/>
      <c r="P133" s="23" t="str">
        <f aca="false">IF(I133&gt;0,K133/I133,"")</f>
        <v/>
      </c>
      <c r="Q133" s="20" t="str">
        <f aca="false">IF(K133&gt;0,H133/K133,"")</f>
        <v/>
      </c>
      <c r="R133" s="20" t="str">
        <f aca="false">IF(I133&gt;0,H133/I133*1000,"")</f>
        <v/>
      </c>
      <c r="S133" s="23" t="str">
        <f aca="false">IF(K133&gt;0,N133/K133,"")</f>
        <v/>
      </c>
      <c r="T133" s="20" t="str">
        <f aca="false">IF(N133&gt;0,H133/N133,"")</f>
        <v/>
      </c>
      <c r="U133" s="18" t="str">
        <f aca="false">IF(H133&gt;0,O133/H133,"")</f>
        <v/>
      </c>
      <c r="V133" s="20" t="str">
        <f aca="false">IF(N133&gt;0,O133/N133,"")</f>
        <v/>
      </c>
      <c r="W133" s="20" t="str">
        <f aca="false">IF(H133&gt;0,O133*الإعدادات!$B$5-H133,"")</f>
        <v/>
      </c>
      <c r="X133" s="23" t="str">
        <f aca="false">IF(AND(I133&gt;0,A133&lt;&gt;""),P133-IFERROR(INDEX(الإعدادات!$B$15:$B$18,MATCH(A133,الإعدادات!$A$15:$A$18,0)),0),"")</f>
        <v/>
      </c>
      <c r="Y133" s="12" t="str">
        <f aca="false">IF(H133="","",IF(H133&lt;الإعدادات!$B$9,"بيانات غير كافية — انتظر",IF(N133=0,"إيقاف أو إعادة بناء (إنفاق بلا مبيعات)",IF(H133/N133&gt;الإعدادات!$B$8*1.5,"خفض الميزانية + اختبار إبداعات جديدة",IF(O133/H133&gt;=الإعدادات!$B$6*1.2,"توسيع الميزانية تدريجياً",IF(O133/H133&gt;=الإعدادات!$B$7,IF(AND(X133&lt;&gt;"",X133&lt;0),"رابحة — حدّث الإبداعات لرفع CTR","رابحة — حافظ وحسّن"),"تحت التعادل — حسّن الصفحة/العرض أو أوقف"))))))</f>
        <v/>
      </c>
    </row>
    <row r="134" customFormat="false" ht="15" hidden="false" customHeight="false" outlineLevel="0" collapsed="false">
      <c r="A134" s="14"/>
      <c r="B134" s="14"/>
      <c r="C134" s="14"/>
      <c r="D134" s="14"/>
      <c r="E134" s="14"/>
      <c r="F134" s="14"/>
      <c r="G134" s="14"/>
      <c r="H134" s="19"/>
      <c r="I134" s="22"/>
      <c r="J134" s="22"/>
      <c r="K134" s="22"/>
      <c r="L134" s="22"/>
      <c r="M134" s="22"/>
      <c r="N134" s="22"/>
      <c r="O134" s="19"/>
      <c r="P134" s="23" t="str">
        <f aca="false">IF(I134&gt;0,K134/I134,"")</f>
        <v/>
      </c>
      <c r="Q134" s="20" t="str">
        <f aca="false">IF(K134&gt;0,H134/K134,"")</f>
        <v/>
      </c>
      <c r="R134" s="20" t="str">
        <f aca="false">IF(I134&gt;0,H134/I134*1000,"")</f>
        <v/>
      </c>
      <c r="S134" s="23" t="str">
        <f aca="false">IF(K134&gt;0,N134/K134,"")</f>
        <v/>
      </c>
      <c r="T134" s="20" t="str">
        <f aca="false">IF(N134&gt;0,H134/N134,"")</f>
        <v/>
      </c>
      <c r="U134" s="18" t="str">
        <f aca="false">IF(H134&gt;0,O134/H134,"")</f>
        <v/>
      </c>
      <c r="V134" s="20" t="str">
        <f aca="false">IF(N134&gt;0,O134/N134,"")</f>
        <v/>
      </c>
      <c r="W134" s="20" t="str">
        <f aca="false">IF(H134&gt;0,O134*الإعدادات!$B$5-H134,"")</f>
        <v/>
      </c>
      <c r="X134" s="23" t="str">
        <f aca="false">IF(AND(I134&gt;0,A134&lt;&gt;""),P134-IFERROR(INDEX(الإعدادات!$B$15:$B$18,MATCH(A134,الإعدادات!$A$15:$A$18,0)),0),"")</f>
        <v/>
      </c>
      <c r="Y134" s="12" t="str">
        <f aca="false">IF(H134="","",IF(H134&lt;الإعدادات!$B$9,"بيانات غير كافية — انتظر",IF(N134=0,"إيقاف أو إعادة بناء (إنفاق بلا مبيعات)",IF(H134/N134&gt;الإعدادات!$B$8*1.5,"خفض الميزانية + اختبار إبداعات جديدة",IF(O134/H134&gt;=الإعدادات!$B$6*1.2,"توسيع الميزانية تدريجياً",IF(O134/H134&gt;=الإعدادات!$B$7,IF(AND(X134&lt;&gt;"",X134&lt;0),"رابحة — حدّث الإبداعات لرفع CTR","رابحة — حافظ وحسّن"),"تحت التعادل — حسّن الصفحة/العرض أو أوقف"))))))</f>
        <v/>
      </c>
    </row>
    <row r="135" customFormat="false" ht="15" hidden="false" customHeight="false" outlineLevel="0" collapsed="false">
      <c r="A135" s="14"/>
      <c r="B135" s="14"/>
      <c r="C135" s="14"/>
      <c r="D135" s="14"/>
      <c r="E135" s="14"/>
      <c r="F135" s="14"/>
      <c r="G135" s="14"/>
      <c r="H135" s="19"/>
      <c r="I135" s="22"/>
      <c r="J135" s="22"/>
      <c r="K135" s="22"/>
      <c r="L135" s="22"/>
      <c r="M135" s="22"/>
      <c r="N135" s="22"/>
      <c r="O135" s="19"/>
      <c r="P135" s="23" t="str">
        <f aca="false">IF(I135&gt;0,K135/I135,"")</f>
        <v/>
      </c>
      <c r="Q135" s="20" t="str">
        <f aca="false">IF(K135&gt;0,H135/K135,"")</f>
        <v/>
      </c>
      <c r="R135" s="20" t="str">
        <f aca="false">IF(I135&gt;0,H135/I135*1000,"")</f>
        <v/>
      </c>
      <c r="S135" s="23" t="str">
        <f aca="false">IF(K135&gt;0,N135/K135,"")</f>
        <v/>
      </c>
      <c r="T135" s="20" t="str">
        <f aca="false">IF(N135&gt;0,H135/N135,"")</f>
        <v/>
      </c>
      <c r="U135" s="18" t="str">
        <f aca="false">IF(H135&gt;0,O135/H135,"")</f>
        <v/>
      </c>
      <c r="V135" s="20" t="str">
        <f aca="false">IF(N135&gt;0,O135/N135,"")</f>
        <v/>
      </c>
      <c r="W135" s="20" t="str">
        <f aca="false">IF(H135&gt;0,O135*الإعدادات!$B$5-H135,"")</f>
        <v/>
      </c>
      <c r="X135" s="23" t="str">
        <f aca="false">IF(AND(I135&gt;0,A135&lt;&gt;""),P135-IFERROR(INDEX(الإعدادات!$B$15:$B$18,MATCH(A135,الإعدادات!$A$15:$A$18,0)),0),"")</f>
        <v/>
      </c>
      <c r="Y135" s="12" t="str">
        <f aca="false">IF(H135="","",IF(H135&lt;الإعدادات!$B$9,"بيانات غير كافية — انتظر",IF(N135=0,"إيقاف أو إعادة بناء (إنفاق بلا مبيعات)",IF(H135/N135&gt;الإعدادات!$B$8*1.5,"خفض الميزانية + اختبار إبداعات جديدة",IF(O135/H135&gt;=الإعدادات!$B$6*1.2,"توسيع الميزانية تدريجياً",IF(O135/H135&gt;=الإعدادات!$B$7,IF(AND(X135&lt;&gt;"",X135&lt;0),"رابحة — حدّث الإبداعات لرفع CTR","رابحة — حافظ وحسّن"),"تحت التعادل — حسّن الصفحة/العرض أو أوقف"))))))</f>
        <v/>
      </c>
    </row>
    <row r="136" customFormat="false" ht="15" hidden="false" customHeight="false" outlineLevel="0" collapsed="false">
      <c r="A136" s="14"/>
      <c r="B136" s="14"/>
      <c r="C136" s="14"/>
      <c r="D136" s="14"/>
      <c r="E136" s="14"/>
      <c r="F136" s="14"/>
      <c r="G136" s="14"/>
      <c r="H136" s="19"/>
      <c r="I136" s="22"/>
      <c r="J136" s="22"/>
      <c r="K136" s="22"/>
      <c r="L136" s="22"/>
      <c r="M136" s="22"/>
      <c r="N136" s="22"/>
      <c r="O136" s="19"/>
      <c r="P136" s="23" t="str">
        <f aca="false">IF(I136&gt;0,K136/I136,"")</f>
        <v/>
      </c>
      <c r="Q136" s="20" t="str">
        <f aca="false">IF(K136&gt;0,H136/K136,"")</f>
        <v/>
      </c>
      <c r="R136" s="20" t="str">
        <f aca="false">IF(I136&gt;0,H136/I136*1000,"")</f>
        <v/>
      </c>
      <c r="S136" s="23" t="str">
        <f aca="false">IF(K136&gt;0,N136/K136,"")</f>
        <v/>
      </c>
      <c r="T136" s="20" t="str">
        <f aca="false">IF(N136&gt;0,H136/N136,"")</f>
        <v/>
      </c>
      <c r="U136" s="18" t="str">
        <f aca="false">IF(H136&gt;0,O136/H136,"")</f>
        <v/>
      </c>
      <c r="V136" s="20" t="str">
        <f aca="false">IF(N136&gt;0,O136/N136,"")</f>
        <v/>
      </c>
      <c r="W136" s="20" t="str">
        <f aca="false">IF(H136&gt;0,O136*الإعدادات!$B$5-H136,"")</f>
        <v/>
      </c>
      <c r="X136" s="23" t="str">
        <f aca="false">IF(AND(I136&gt;0,A136&lt;&gt;""),P136-IFERROR(INDEX(الإعدادات!$B$15:$B$18,MATCH(A136,الإعدادات!$A$15:$A$18,0)),0),"")</f>
        <v/>
      </c>
      <c r="Y136" s="12" t="str">
        <f aca="false">IF(H136="","",IF(H136&lt;الإعدادات!$B$9,"بيانات غير كافية — انتظر",IF(N136=0,"إيقاف أو إعادة بناء (إنفاق بلا مبيعات)",IF(H136/N136&gt;الإعدادات!$B$8*1.5,"خفض الميزانية + اختبار إبداعات جديدة",IF(O136/H136&gt;=الإعدادات!$B$6*1.2,"توسيع الميزانية تدريجياً",IF(O136/H136&gt;=الإعدادات!$B$7,IF(AND(X136&lt;&gt;"",X136&lt;0),"رابحة — حدّث الإبداعات لرفع CTR","رابحة — حافظ وحسّن"),"تحت التعادل — حسّن الصفحة/العرض أو أوقف"))))))</f>
        <v/>
      </c>
    </row>
    <row r="137" customFormat="false" ht="15" hidden="false" customHeight="false" outlineLevel="0" collapsed="false">
      <c r="A137" s="14"/>
      <c r="B137" s="14"/>
      <c r="C137" s="14"/>
      <c r="D137" s="14"/>
      <c r="E137" s="14"/>
      <c r="F137" s="14"/>
      <c r="G137" s="14"/>
      <c r="H137" s="19"/>
      <c r="I137" s="22"/>
      <c r="J137" s="22"/>
      <c r="K137" s="22"/>
      <c r="L137" s="22"/>
      <c r="M137" s="22"/>
      <c r="N137" s="22"/>
      <c r="O137" s="19"/>
      <c r="P137" s="23" t="str">
        <f aca="false">IF(I137&gt;0,K137/I137,"")</f>
        <v/>
      </c>
      <c r="Q137" s="20" t="str">
        <f aca="false">IF(K137&gt;0,H137/K137,"")</f>
        <v/>
      </c>
      <c r="R137" s="20" t="str">
        <f aca="false">IF(I137&gt;0,H137/I137*1000,"")</f>
        <v/>
      </c>
      <c r="S137" s="23" t="str">
        <f aca="false">IF(K137&gt;0,N137/K137,"")</f>
        <v/>
      </c>
      <c r="T137" s="20" t="str">
        <f aca="false">IF(N137&gt;0,H137/N137,"")</f>
        <v/>
      </c>
      <c r="U137" s="18" t="str">
        <f aca="false">IF(H137&gt;0,O137/H137,"")</f>
        <v/>
      </c>
      <c r="V137" s="20" t="str">
        <f aca="false">IF(N137&gt;0,O137/N137,"")</f>
        <v/>
      </c>
      <c r="W137" s="20" t="str">
        <f aca="false">IF(H137&gt;0,O137*الإعدادات!$B$5-H137,"")</f>
        <v/>
      </c>
      <c r="X137" s="23" t="str">
        <f aca="false">IF(AND(I137&gt;0,A137&lt;&gt;""),P137-IFERROR(INDEX(الإعدادات!$B$15:$B$18,MATCH(A137,الإعدادات!$A$15:$A$18,0)),0),"")</f>
        <v/>
      </c>
      <c r="Y137" s="12" t="str">
        <f aca="false">IF(H137="","",IF(H137&lt;الإعدادات!$B$9,"بيانات غير كافية — انتظر",IF(N137=0,"إيقاف أو إعادة بناء (إنفاق بلا مبيعات)",IF(H137/N137&gt;الإعدادات!$B$8*1.5,"خفض الميزانية + اختبار إبداعات جديدة",IF(O137/H137&gt;=الإعدادات!$B$6*1.2,"توسيع الميزانية تدريجياً",IF(O137/H137&gt;=الإعدادات!$B$7,IF(AND(X137&lt;&gt;"",X137&lt;0),"رابحة — حدّث الإبداعات لرفع CTR","رابحة — حافظ وحسّن"),"تحت التعادل — حسّن الصفحة/العرض أو أوقف"))))))</f>
        <v/>
      </c>
    </row>
    <row r="138" customFormat="false" ht="15" hidden="false" customHeight="false" outlineLevel="0" collapsed="false">
      <c r="A138" s="14"/>
      <c r="B138" s="14"/>
      <c r="C138" s="14"/>
      <c r="D138" s="14"/>
      <c r="E138" s="14"/>
      <c r="F138" s="14"/>
      <c r="G138" s="14"/>
      <c r="H138" s="19"/>
      <c r="I138" s="22"/>
      <c r="J138" s="22"/>
      <c r="K138" s="22"/>
      <c r="L138" s="22"/>
      <c r="M138" s="22"/>
      <c r="N138" s="22"/>
      <c r="O138" s="19"/>
      <c r="P138" s="23" t="str">
        <f aca="false">IF(I138&gt;0,K138/I138,"")</f>
        <v/>
      </c>
      <c r="Q138" s="20" t="str">
        <f aca="false">IF(K138&gt;0,H138/K138,"")</f>
        <v/>
      </c>
      <c r="R138" s="20" t="str">
        <f aca="false">IF(I138&gt;0,H138/I138*1000,"")</f>
        <v/>
      </c>
      <c r="S138" s="23" t="str">
        <f aca="false">IF(K138&gt;0,N138/K138,"")</f>
        <v/>
      </c>
      <c r="T138" s="20" t="str">
        <f aca="false">IF(N138&gt;0,H138/N138,"")</f>
        <v/>
      </c>
      <c r="U138" s="18" t="str">
        <f aca="false">IF(H138&gt;0,O138/H138,"")</f>
        <v/>
      </c>
      <c r="V138" s="20" t="str">
        <f aca="false">IF(N138&gt;0,O138/N138,"")</f>
        <v/>
      </c>
      <c r="W138" s="20" t="str">
        <f aca="false">IF(H138&gt;0,O138*الإعدادات!$B$5-H138,"")</f>
        <v/>
      </c>
      <c r="X138" s="23" t="str">
        <f aca="false">IF(AND(I138&gt;0,A138&lt;&gt;""),P138-IFERROR(INDEX(الإعدادات!$B$15:$B$18,MATCH(A138,الإعدادات!$A$15:$A$18,0)),0),"")</f>
        <v/>
      </c>
      <c r="Y138" s="12" t="str">
        <f aca="false">IF(H138="","",IF(H138&lt;الإعدادات!$B$9,"بيانات غير كافية — انتظر",IF(N138=0,"إيقاف أو إعادة بناء (إنفاق بلا مبيعات)",IF(H138/N138&gt;الإعدادات!$B$8*1.5,"خفض الميزانية + اختبار إبداعات جديدة",IF(O138/H138&gt;=الإعدادات!$B$6*1.2,"توسيع الميزانية تدريجياً",IF(O138/H138&gt;=الإعدادات!$B$7,IF(AND(X138&lt;&gt;"",X138&lt;0),"رابحة — حدّث الإبداعات لرفع CTR","رابحة — حافظ وحسّن"),"تحت التعادل — حسّن الصفحة/العرض أو أوقف"))))))</f>
        <v/>
      </c>
    </row>
    <row r="139" customFormat="false" ht="15" hidden="false" customHeight="false" outlineLevel="0" collapsed="false">
      <c r="A139" s="14"/>
      <c r="B139" s="14"/>
      <c r="C139" s="14"/>
      <c r="D139" s="14"/>
      <c r="E139" s="14"/>
      <c r="F139" s="14"/>
      <c r="G139" s="14"/>
      <c r="H139" s="19"/>
      <c r="I139" s="22"/>
      <c r="J139" s="22"/>
      <c r="K139" s="22"/>
      <c r="L139" s="22"/>
      <c r="M139" s="22"/>
      <c r="N139" s="22"/>
      <c r="O139" s="19"/>
      <c r="P139" s="23" t="str">
        <f aca="false">IF(I139&gt;0,K139/I139,"")</f>
        <v/>
      </c>
      <c r="Q139" s="20" t="str">
        <f aca="false">IF(K139&gt;0,H139/K139,"")</f>
        <v/>
      </c>
      <c r="R139" s="20" t="str">
        <f aca="false">IF(I139&gt;0,H139/I139*1000,"")</f>
        <v/>
      </c>
      <c r="S139" s="23" t="str">
        <f aca="false">IF(K139&gt;0,N139/K139,"")</f>
        <v/>
      </c>
      <c r="T139" s="20" t="str">
        <f aca="false">IF(N139&gt;0,H139/N139,"")</f>
        <v/>
      </c>
      <c r="U139" s="18" t="str">
        <f aca="false">IF(H139&gt;0,O139/H139,"")</f>
        <v/>
      </c>
      <c r="V139" s="20" t="str">
        <f aca="false">IF(N139&gt;0,O139/N139,"")</f>
        <v/>
      </c>
      <c r="W139" s="20" t="str">
        <f aca="false">IF(H139&gt;0,O139*الإعدادات!$B$5-H139,"")</f>
        <v/>
      </c>
      <c r="X139" s="23" t="str">
        <f aca="false">IF(AND(I139&gt;0,A139&lt;&gt;""),P139-IFERROR(INDEX(الإعدادات!$B$15:$B$18,MATCH(A139,الإعدادات!$A$15:$A$18,0)),0),"")</f>
        <v/>
      </c>
      <c r="Y139" s="12" t="str">
        <f aca="false">IF(H139="","",IF(H139&lt;الإعدادات!$B$9,"بيانات غير كافية — انتظر",IF(N139=0,"إيقاف أو إعادة بناء (إنفاق بلا مبيعات)",IF(H139/N139&gt;الإعدادات!$B$8*1.5,"خفض الميزانية + اختبار إبداعات جديدة",IF(O139/H139&gt;=الإعدادات!$B$6*1.2,"توسيع الميزانية تدريجياً",IF(O139/H139&gt;=الإعدادات!$B$7,IF(AND(X139&lt;&gt;"",X139&lt;0),"رابحة — حدّث الإبداعات لرفع CTR","رابحة — حافظ وحسّن"),"تحت التعادل — حسّن الصفحة/العرض أو أوقف"))))))</f>
        <v/>
      </c>
    </row>
    <row r="140" customFormat="false" ht="15" hidden="false" customHeight="false" outlineLevel="0" collapsed="false">
      <c r="A140" s="14"/>
      <c r="B140" s="14"/>
      <c r="C140" s="14"/>
      <c r="D140" s="14"/>
      <c r="E140" s="14"/>
      <c r="F140" s="14"/>
      <c r="G140" s="14"/>
      <c r="H140" s="19"/>
      <c r="I140" s="22"/>
      <c r="J140" s="22"/>
      <c r="K140" s="22"/>
      <c r="L140" s="22"/>
      <c r="M140" s="22"/>
      <c r="N140" s="22"/>
      <c r="O140" s="19"/>
      <c r="P140" s="23" t="str">
        <f aca="false">IF(I140&gt;0,K140/I140,"")</f>
        <v/>
      </c>
      <c r="Q140" s="20" t="str">
        <f aca="false">IF(K140&gt;0,H140/K140,"")</f>
        <v/>
      </c>
      <c r="R140" s="20" t="str">
        <f aca="false">IF(I140&gt;0,H140/I140*1000,"")</f>
        <v/>
      </c>
      <c r="S140" s="23" t="str">
        <f aca="false">IF(K140&gt;0,N140/K140,"")</f>
        <v/>
      </c>
      <c r="T140" s="20" t="str">
        <f aca="false">IF(N140&gt;0,H140/N140,"")</f>
        <v/>
      </c>
      <c r="U140" s="18" t="str">
        <f aca="false">IF(H140&gt;0,O140/H140,"")</f>
        <v/>
      </c>
      <c r="V140" s="20" t="str">
        <f aca="false">IF(N140&gt;0,O140/N140,"")</f>
        <v/>
      </c>
      <c r="W140" s="20" t="str">
        <f aca="false">IF(H140&gt;0,O140*الإعدادات!$B$5-H140,"")</f>
        <v/>
      </c>
      <c r="X140" s="23" t="str">
        <f aca="false">IF(AND(I140&gt;0,A140&lt;&gt;""),P140-IFERROR(INDEX(الإعدادات!$B$15:$B$18,MATCH(A140,الإعدادات!$A$15:$A$18,0)),0),"")</f>
        <v/>
      </c>
      <c r="Y140" s="12" t="str">
        <f aca="false">IF(H140="","",IF(H140&lt;الإعدادات!$B$9,"بيانات غير كافية — انتظر",IF(N140=0,"إيقاف أو إعادة بناء (إنفاق بلا مبيعات)",IF(H140/N140&gt;الإعدادات!$B$8*1.5,"خفض الميزانية + اختبار إبداعات جديدة",IF(O140/H140&gt;=الإعدادات!$B$6*1.2,"توسيع الميزانية تدريجياً",IF(O140/H140&gt;=الإعدادات!$B$7,IF(AND(X140&lt;&gt;"",X140&lt;0),"رابحة — حدّث الإبداعات لرفع CTR","رابحة — حافظ وحسّن"),"تحت التعادل — حسّن الصفحة/العرض أو أوقف"))))))</f>
        <v/>
      </c>
    </row>
    <row r="141" customFormat="false" ht="15" hidden="false" customHeight="false" outlineLevel="0" collapsed="false">
      <c r="A141" s="14"/>
      <c r="B141" s="14"/>
      <c r="C141" s="14"/>
      <c r="D141" s="14"/>
      <c r="E141" s="14"/>
      <c r="F141" s="14"/>
      <c r="G141" s="14"/>
      <c r="H141" s="19"/>
      <c r="I141" s="22"/>
      <c r="J141" s="22"/>
      <c r="K141" s="22"/>
      <c r="L141" s="22"/>
      <c r="M141" s="22"/>
      <c r="N141" s="22"/>
      <c r="O141" s="19"/>
      <c r="P141" s="23" t="str">
        <f aca="false">IF(I141&gt;0,K141/I141,"")</f>
        <v/>
      </c>
      <c r="Q141" s="20" t="str">
        <f aca="false">IF(K141&gt;0,H141/K141,"")</f>
        <v/>
      </c>
      <c r="R141" s="20" t="str">
        <f aca="false">IF(I141&gt;0,H141/I141*1000,"")</f>
        <v/>
      </c>
      <c r="S141" s="23" t="str">
        <f aca="false">IF(K141&gt;0,N141/K141,"")</f>
        <v/>
      </c>
      <c r="T141" s="20" t="str">
        <f aca="false">IF(N141&gt;0,H141/N141,"")</f>
        <v/>
      </c>
      <c r="U141" s="18" t="str">
        <f aca="false">IF(H141&gt;0,O141/H141,"")</f>
        <v/>
      </c>
      <c r="V141" s="20" t="str">
        <f aca="false">IF(N141&gt;0,O141/N141,"")</f>
        <v/>
      </c>
      <c r="W141" s="20" t="str">
        <f aca="false">IF(H141&gt;0,O141*الإعدادات!$B$5-H141,"")</f>
        <v/>
      </c>
      <c r="X141" s="23" t="str">
        <f aca="false">IF(AND(I141&gt;0,A141&lt;&gt;""),P141-IFERROR(INDEX(الإعدادات!$B$15:$B$18,MATCH(A141,الإعدادات!$A$15:$A$18,0)),0),"")</f>
        <v/>
      </c>
      <c r="Y141" s="12" t="str">
        <f aca="false">IF(H141="","",IF(H141&lt;الإعدادات!$B$9,"بيانات غير كافية — انتظر",IF(N141=0,"إيقاف أو إعادة بناء (إنفاق بلا مبيعات)",IF(H141/N141&gt;الإعدادات!$B$8*1.5,"خفض الميزانية + اختبار إبداعات جديدة",IF(O141/H141&gt;=الإعدادات!$B$6*1.2,"توسيع الميزانية تدريجياً",IF(O141/H141&gt;=الإعدادات!$B$7,IF(AND(X141&lt;&gt;"",X141&lt;0),"رابحة — حدّث الإبداعات لرفع CTR","رابحة — حافظ وحسّن"),"تحت التعادل — حسّن الصفحة/العرض أو أوقف"))))))</f>
        <v/>
      </c>
    </row>
    <row r="142" customFormat="false" ht="15" hidden="false" customHeight="false" outlineLevel="0" collapsed="false">
      <c r="A142" s="14"/>
      <c r="B142" s="14"/>
      <c r="C142" s="14"/>
      <c r="D142" s="14"/>
      <c r="E142" s="14"/>
      <c r="F142" s="14"/>
      <c r="G142" s="14"/>
      <c r="H142" s="19"/>
      <c r="I142" s="22"/>
      <c r="J142" s="22"/>
      <c r="K142" s="22"/>
      <c r="L142" s="22"/>
      <c r="M142" s="22"/>
      <c r="N142" s="22"/>
      <c r="O142" s="19"/>
      <c r="P142" s="23" t="str">
        <f aca="false">IF(I142&gt;0,K142/I142,"")</f>
        <v/>
      </c>
      <c r="Q142" s="20" t="str">
        <f aca="false">IF(K142&gt;0,H142/K142,"")</f>
        <v/>
      </c>
      <c r="R142" s="20" t="str">
        <f aca="false">IF(I142&gt;0,H142/I142*1000,"")</f>
        <v/>
      </c>
      <c r="S142" s="23" t="str">
        <f aca="false">IF(K142&gt;0,N142/K142,"")</f>
        <v/>
      </c>
      <c r="T142" s="20" t="str">
        <f aca="false">IF(N142&gt;0,H142/N142,"")</f>
        <v/>
      </c>
      <c r="U142" s="18" t="str">
        <f aca="false">IF(H142&gt;0,O142/H142,"")</f>
        <v/>
      </c>
      <c r="V142" s="20" t="str">
        <f aca="false">IF(N142&gt;0,O142/N142,"")</f>
        <v/>
      </c>
      <c r="W142" s="20" t="str">
        <f aca="false">IF(H142&gt;0,O142*الإعدادات!$B$5-H142,"")</f>
        <v/>
      </c>
      <c r="X142" s="23" t="str">
        <f aca="false">IF(AND(I142&gt;0,A142&lt;&gt;""),P142-IFERROR(INDEX(الإعدادات!$B$15:$B$18,MATCH(A142,الإعدادات!$A$15:$A$18,0)),0),"")</f>
        <v/>
      </c>
      <c r="Y142" s="12" t="str">
        <f aca="false">IF(H142="","",IF(H142&lt;الإعدادات!$B$9,"بيانات غير كافية — انتظر",IF(N142=0,"إيقاف أو إعادة بناء (إنفاق بلا مبيعات)",IF(H142/N142&gt;الإعدادات!$B$8*1.5,"خفض الميزانية + اختبار إبداعات جديدة",IF(O142/H142&gt;=الإعدادات!$B$6*1.2,"توسيع الميزانية تدريجياً",IF(O142/H142&gt;=الإعدادات!$B$7,IF(AND(X142&lt;&gt;"",X142&lt;0),"رابحة — حدّث الإبداعات لرفع CTR","رابحة — حافظ وحسّن"),"تحت التعادل — حسّن الصفحة/العرض أو أوقف"))))))</f>
        <v/>
      </c>
    </row>
    <row r="143" customFormat="false" ht="15" hidden="false" customHeight="false" outlineLevel="0" collapsed="false">
      <c r="A143" s="14"/>
      <c r="B143" s="14"/>
      <c r="C143" s="14"/>
      <c r="D143" s="14"/>
      <c r="E143" s="14"/>
      <c r="F143" s="14"/>
      <c r="G143" s="14"/>
      <c r="H143" s="19"/>
      <c r="I143" s="22"/>
      <c r="J143" s="22"/>
      <c r="K143" s="22"/>
      <c r="L143" s="22"/>
      <c r="M143" s="22"/>
      <c r="N143" s="22"/>
      <c r="O143" s="19"/>
      <c r="P143" s="23" t="str">
        <f aca="false">IF(I143&gt;0,K143/I143,"")</f>
        <v/>
      </c>
      <c r="Q143" s="20" t="str">
        <f aca="false">IF(K143&gt;0,H143/K143,"")</f>
        <v/>
      </c>
      <c r="R143" s="20" t="str">
        <f aca="false">IF(I143&gt;0,H143/I143*1000,"")</f>
        <v/>
      </c>
      <c r="S143" s="23" t="str">
        <f aca="false">IF(K143&gt;0,N143/K143,"")</f>
        <v/>
      </c>
      <c r="T143" s="20" t="str">
        <f aca="false">IF(N143&gt;0,H143/N143,"")</f>
        <v/>
      </c>
      <c r="U143" s="18" t="str">
        <f aca="false">IF(H143&gt;0,O143/H143,"")</f>
        <v/>
      </c>
      <c r="V143" s="20" t="str">
        <f aca="false">IF(N143&gt;0,O143/N143,"")</f>
        <v/>
      </c>
      <c r="W143" s="20" t="str">
        <f aca="false">IF(H143&gt;0,O143*الإعدادات!$B$5-H143,"")</f>
        <v/>
      </c>
      <c r="X143" s="23" t="str">
        <f aca="false">IF(AND(I143&gt;0,A143&lt;&gt;""),P143-IFERROR(INDEX(الإعدادات!$B$15:$B$18,MATCH(A143,الإعدادات!$A$15:$A$18,0)),0),"")</f>
        <v/>
      </c>
      <c r="Y143" s="12" t="str">
        <f aca="false">IF(H143="","",IF(H143&lt;الإعدادات!$B$9,"بيانات غير كافية — انتظر",IF(N143=0,"إيقاف أو إعادة بناء (إنفاق بلا مبيعات)",IF(H143/N143&gt;الإعدادات!$B$8*1.5,"خفض الميزانية + اختبار إبداعات جديدة",IF(O143/H143&gt;=الإعدادات!$B$6*1.2,"توسيع الميزانية تدريجياً",IF(O143/H143&gt;=الإعدادات!$B$7,IF(AND(X143&lt;&gt;"",X143&lt;0),"رابحة — حدّث الإبداعات لرفع CTR","رابحة — حافظ وحسّن"),"تحت التعادل — حسّن الصفحة/العرض أو أوقف"))))))</f>
        <v/>
      </c>
    </row>
    <row r="144" customFormat="false" ht="15" hidden="false" customHeight="false" outlineLevel="0" collapsed="false">
      <c r="A144" s="14"/>
      <c r="B144" s="14"/>
      <c r="C144" s="14"/>
      <c r="D144" s="14"/>
      <c r="E144" s="14"/>
      <c r="F144" s="14"/>
      <c r="G144" s="14"/>
      <c r="H144" s="19"/>
      <c r="I144" s="22"/>
      <c r="J144" s="22"/>
      <c r="K144" s="22"/>
      <c r="L144" s="22"/>
      <c r="M144" s="22"/>
      <c r="N144" s="22"/>
      <c r="O144" s="19"/>
      <c r="P144" s="23" t="str">
        <f aca="false">IF(I144&gt;0,K144/I144,"")</f>
        <v/>
      </c>
      <c r="Q144" s="20" t="str">
        <f aca="false">IF(K144&gt;0,H144/K144,"")</f>
        <v/>
      </c>
      <c r="R144" s="20" t="str">
        <f aca="false">IF(I144&gt;0,H144/I144*1000,"")</f>
        <v/>
      </c>
      <c r="S144" s="23" t="str">
        <f aca="false">IF(K144&gt;0,N144/K144,"")</f>
        <v/>
      </c>
      <c r="T144" s="20" t="str">
        <f aca="false">IF(N144&gt;0,H144/N144,"")</f>
        <v/>
      </c>
      <c r="U144" s="18" t="str">
        <f aca="false">IF(H144&gt;0,O144/H144,"")</f>
        <v/>
      </c>
      <c r="V144" s="20" t="str">
        <f aca="false">IF(N144&gt;0,O144/N144,"")</f>
        <v/>
      </c>
      <c r="W144" s="20" t="str">
        <f aca="false">IF(H144&gt;0,O144*الإعدادات!$B$5-H144,"")</f>
        <v/>
      </c>
      <c r="X144" s="23" t="str">
        <f aca="false">IF(AND(I144&gt;0,A144&lt;&gt;""),P144-IFERROR(INDEX(الإعدادات!$B$15:$B$18,MATCH(A144,الإعدادات!$A$15:$A$18,0)),0),"")</f>
        <v/>
      </c>
      <c r="Y144" s="12" t="str">
        <f aca="false">IF(H144="","",IF(H144&lt;الإعدادات!$B$9,"بيانات غير كافية — انتظر",IF(N144=0,"إيقاف أو إعادة بناء (إنفاق بلا مبيعات)",IF(H144/N144&gt;الإعدادات!$B$8*1.5,"خفض الميزانية + اختبار إبداعات جديدة",IF(O144/H144&gt;=الإعدادات!$B$6*1.2,"توسيع الميزانية تدريجياً",IF(O144/H144&gt;=الإعدادات!$B$7,IF(AND(X144&lt;&gt;"",X144&lt;0),"رابحة — حدّث الإبداعات لرفع CTR","رابحة — حافظ وحسّن"),"تحت التعادل — حسّن الصفحة/العرض أو أوقف"))))))</f>
        <v/>
      </c>
    </row>
    <row r="145" customFormat="false" ht="15" hidden="false" customHeight="false" outlineLevel="0" collapsed="false">
      <c r="A145" s="14"/>
      <c r="B145" s="14"/>
      <c r="C145" s="14"/>
      <c r="D145" s="14"/>
      <c r="E145" s="14"/>
      <c r="F145" s="14"/>
      <c r="G145" s="14"/>
      <c r="H145" s="19"/>
      <c r="I145" s="22"/>
      <c r="J145" s="22"/>
      <c r="K145" s="22"/>
      <c r="L145" s="22"/>
      <c r="M145" s="22"/>
      <c r="N145" s="22"/>
      <c r="O145" s="19"/>
      <c r="P145" s="23" t="str">
        <f aca="false">IF(I145&gt;0,K145/I145,"")</f>
        <v/>
      </c>
      <c r="Q145" s="20" t="str">
        <f aca="false">IF(K145&gt;0,H145/K145,"")</f>
        <v/>
      </c>
      <c r="R145" s="20" t="str">
        <f aca="false">IF(I145&gt;0,H145/I145*1000,"")</f>
        <v/>
      </c>
      <c r="S145" s="23" t="str">
        <f aca="false">IF(K145&gt;0,N145/K145,"")</f>
        <v/>
      </c>
      <c r="T145" s="20" t="str">
        <f aca="false">IF(N145&gt;0,H145/N145,"")</f>
        <v/>
      </c>
      <c r="U145" s="18" t="str">
        <f aca="false">IF(H145&gt;0,O145/H145,"")</f>
        <v/>
      </c>
      <c r="V145" s="20" t="str">
        <f aca="false">IF(N145&gt;0,O145/N145,"")</f>
        <v/>
      </c>
      <c r="W145" s="20" t="str">
        <f aca="false">IF(H145&gt;0,O145*الإعدادات!$B$5-H145,"")</f>
        <v/>
      </c>
      <c r="X145" s="23" t="str">
        <f aca="false">IF(AND(I145&gt;0,A145&lt;&gt;""),P145-IFERROR(INDEX(الإعدادات!$B$15:$B$18,MATCH(A145,الإعدادات!$A$15:$A$18,0)),0),"")</f>
        <v/>
      </c>
      <c r="Y145" s="12" t="str">
        <f aca="false">IF(H145="","",IF(H145&lt;الإعدادات!$B$9,"بيانات غير كافية — انتظر",IF(N145=0,"إيقاف أو إعادة بناء (إنفاق بلا مبيعات)",IF(H145/N145&gt;الإعدادات!$B$8*1.5,"خفض الميزانية + اختبار إبداعات جديدة",IF(O145/H145&gt;=الإعدادات!$B$6*1.2,"توسيع الميزانية تدريجياً",IF(O145/H145&gt;=الإعدادات!$B$7,IF(AND(X145&lt;&gt;"",X145&lt;0),"رابحة — حدّث الإبداعات لرفع CTR","رابحة — حافظ وحسّن"),"تحت التعادل — حسّن الصفحة/العرض أو أوقف"))))))</f>
        <v/>
      </c>
    </row>
    <row r="146" customFormat="false" ht="15" hidden="false" customHeight="false" outlineLevel="0" collapsed="false">
      <c r="A146" s="14"/>
      <c r="B146" s="14"/>
      <c r="C146" s="14"/>
      <c r="D146" s="14"/>
      <c r="E146" s="14"/>
      <c r="F146" s="14"/>
      <c r="G146" s="14"/>
      <c r="H146" s="19"/>
      <c r="I146" s="22"/>
      <c r="J146" s="22"/>
      <c r="K146" s="22"/>
      <c r="L146" s="22"/>
      <c r="M146" s="22"/>
      <c r="N146" s="22"/>
      <c r="O146" s="19"/>
      <c r="P146" s="23" t="str">
        <f aca="false">IF(I146&gt;0,K146/I146,"")</f>
        <v/>
      </c>
      <c r="Q146" s="20" t="str">
        <f aca="false">IF(K146&gt;0,H146/K146,"")</f>
        <v/>
      </c>
      <c r="R146" s="20" t="str">
        <f aca="false">IF(I146&gt;0,H146/I146*1000,"")</f>
        <v/>
      </c>
      <c r="S146" s="23" t="str">
        <f aca="false">IF(K146&gt;0,N146/K146,"")</f>
        <v/>
      </c>
      <c r="T146" s="20" t="str">
        <f aca="false">IF(N146&gt;0,H146/N146,"")</f>
        <v/>
      </c>
      <c r="U146" s="18" t="str">
        <f aca="false">IF(H146&gt;0,O146/H146,"")</f>
        <v/>
      </c>
      <c r="V146" s="20" t="str">
        <f aca="false">IF(N146&gt;0,O146/N146,"")</f>
        <v/>
      </c>
      <c r="W146" s="20" t="str">
        <f aca="false">IF(H146&gt;0,O146*الإعدادات!$B$5-H146,"")</f>
        <v/>
      </c>
      <c r="X146" s="23" t="str">
        <f aca="false">IF(AND(I146&gt;0,A146&lt;&gt;""),P146-IFERROR(INDEX(الإعدادات!$B$15:$B$18,MATCH(A146,الإعدادات!$A$15:$A$18,0)),0),"")</f>
        <v/>
      </c>
      <c r="Y146" s="12" t="str">
        <f aca="false">IF(H146="","",IF(H146&lt;الإعدادات!$B$9,"بيانات غير كافية — انتظر",IF(N146=0,"إيقاف أو إعادة بناء (إنفاق بلا مبيعات)",IF(H146/N146&gt;الإعدادات!$B$8*1.5,"خفض الميزانية + اختبار إبداعات جديدة",IF(O146/H146&gt;=الإعدادات!$B$6*1.2,"توسيع الميزانية تدريجياً",IF(O146/H146&gt;=الإعدادات!$B$7,IF(AND(X146&lt;&gt;"",X146&lt;0),"رابحة — حدّث الإبداعات لرفع CTR","رابحة — حافظ وحسّن"),"تحت التعادل — حسّن الصفحة/العرض أو أوقف"))))))</f>
        <v/>
      </c>
    </row>
    <row r="147" customFormat="false" ht="15" hidden="false" customHeight="false" outlineLevel="0" collapsed="false">
      <c r="A147" s="14"/>
      <c r="B147" s="14"/>
      <c r="C147" s="14"/>
      <c r="D147" s="14"/>
      <c r="E147" s="14"/>
      <c r="F147" s="14"/>
      <c r="G147" s="14"/>
      <c r="H147" s="19"/>
      <c r="I147" s="22"/>
      <c r="J147" s="22"/>
      <c r="K147" s="22"/>
      <c r="L147" s="22"/>
      <c r="M147" s="22"/>
      <c r="N147" s="22"/>
      <c r="O147" s="19"/>
      <c r="P147" s="23" t="str">
        <f aca="false">IF(I147&gt;0,K147/I147,"")</f>
        <v/>
      </c>
      <c r="Q147" s="20" t="str">
        <f aca="false">IF(K147&gt;0,H147/K147,"")</f>
        <v/>
      </c>
      <c r="R147" s="20" t="str">
        <f aca="false">IF(I147&gt;0,H147/I147*1000,"")</f>
        <v/>
      </c>
      <c r="S147" s="23" t="str">
        <f aca="false">IF(K147&gt;0,N147/K147,"")</f>
        <v/>
      </c>
      <c r="T147" s="20" t="str">
        <f aca="false">IF(N147&gt;0,H147/N147,"")</f>
        <v/>
      </c>
      <c r="U147" s="18" t="str">
        <f aca="false">IF(H147&gt;0,O147/H147,"")</f>
        <v/>
      </c>
      <c r="V147" s="20" t="str">
        <f aca="false">IF(N147&gt;0,O147/N147,"")</f>
        <v/>
      </c>
      <c r="W147" s="20" t="str">
        <f aca="false">IF(H147&gt;0,O147*الإعدادات!$B$5-H147,"")</f>
        <v/>
      </c>
      <c r="X147" s="23" t="str">
        <f aca="false">IF(AND(I147&gt;0,A147&lt;&gt;""),P147-IFERROR(INDEX(الإعدادات!$B$15:$B$18,MATCH(A147,الإعدادات!$A$15:$A$18,0)),0),"")</f>
        <v/>
      </c>
      <c r="Y147" s="12" t="str">
        <f aca="false">IF(H147="","",IF(H147&lt;الإعدادات!$B$9,"بيانات غير كافية — انتظر",IF(N147=0,"إيقاف أو إعادة بناء (إنفاق بلا مبيعات)",IF(H147/N147&gt;الإعدادات!$B$8*1.5,"خفض الميزانية + اختبار إبداعات جديدة",IF(O147/H147&gt;=الإعدادات!$B$6*1.2,"توسيع الميزانية تدريجياً",IF(O147/H147&gt;=الإعدادات!$B$7,IF(AND(X147&lt;&gt;"",X147&lt;0),"رابحة — حدّث الإبداعات لرفع CTR","رابحة — حافظ وحسّن"),"تحت التعادل — حسّن الصفحة/العرض أو أوقف"))))))</f>
        <v/>
      </c>
    </row>
    <row r="148" customFormat="false" ht="15" hidden="false" customHeight="false" outlineLevel="0" collapsed="false">
      <c r="A148" s="14"/>
      <c r="B148" s="14"/>
      <c r="C148" s="14"/>
      <c r="D148" s="14"/>
      <c r="E148" s="14"/>
      <c r="F148" s="14"/>
      <c r="G148" s="14"/>
      <c r="H148" s="19"/>
      <c r="I148" s="22"/>
      <c r="J148" s="22"/>
      <c r="K148" s="22"/>
      <c r="L148" s="22"/>
      <c r="M148" s="22"/>
      <c r="N148" s="22"/>
      <c r="O148" s="19"/>
      <c r="P148" s="23" t="str">
        <f aca="false">IF(I148&gt;0,K148/I148,"")</f>
        <v/>
      </c>
      <c r="Q148" s="20" t="str">
        <f aca="false">IF(K148&gt;0,H148/K148,"")</f>
        <v/>
      </c>
      <c r="R148" s="20" t="str">
        <f aca="false">IF(I148&gt;0,H148/I148*1000,"")</f>
        <v/>
      </c>
      <c r="S148" s="23" t="str">
        <f aca="false">IF(K148&gt;0,N148/K148,"")</f>
        <v/>
      </c>
      <c r="T148" s="20" t="str">
        <f aca="false">IF(N148&gt;0,H148/N148,"")</f>
        <v/>
      </c>
      <c r="U148" s="18" t="str">
        <f aca="false">IF(H148&gt;0,O148/H148,"")</f>
        <v/>
      </c>
      <c r="V148" s="20" t="str">
        <f aca="false">IF(N148&gt;0,O148/N148,"")</f>
        <v/>
      </c>
      <c r="W148" s="20" t="str">
        <f aca="false">IF(H148&gt;0,O148*الإعدادات!$B$5-H148,"")</f>
        <v/>
      </c>
      <c r="X148" s="23" t="str">
        <f aca="false">IF(AND(I148&gt;0,A148&lt;&gt;""),P148-IFERROR(INDEX(الإعدادات!$B$15:$B$18,MATCH(A148,الإعدادات!$A$15:$A$18,0)),0),"")</f>
        <v/>
      </c>
      <c r="Y148" s="12" t="str">
        <f aca="false">IF(H148="","",IF(H148&lt;الإعدادات!$B$9,"بيانات غير كافية — انتظر",IF(N148=0,"إيقاف أو إعادة بناء (إنفاق بلا مبيعات)",IF(H148/N148&gt;الإعدادات!$B$8*1.5,"خفض الميزانية + اختبار إبداعات جديدة",IF(O148/H148&gt;=الإعدادات!$B$6*1.2,"توسيع الميزانية تدريجياً",IF(O148/H148&gt;=الإعدادات!$B$7,IF(AND(X148&lt;&gt;"",X148&lt;0),"رابحة — حدّث الإبداعات لرفع CTR","رابحة — حافظ وحسّن"),"تحت التعادل — حسّن الصفحة/العرض أو أوقف"))))))</f>
        <v/>
      </c>
    </row>
    <row r="149" customFormat="false" ht="15" hidden="false" customHeight="false" outlineLevel="0" collapsed="false">
      <c r="A149" s="14"/>
      <c r="B149" s="14"/>
      <c r="C149" s="14"/>
      <c r="D149" s="14"/>
      <c r="E149" s="14"/>
      <c r="F149" s="14"/>
      <c r="G149" s="14"/>
      <c r="H149" s="19"/>
      <c r="I149" s="22"/>
      <c r="J149" s="22"/>
      <c r="K149" s="22"/>
      <c r="L149" s="22"/>
      <c r="M149" s="22"/>
      <c r="N149" s="22"/>
      <c r="O149" s="19"/>
      <c r="P149" s="23" t="str">
        <f aca="false">IF(I149&gt;0,K149/I149,"")</f>
        <v/>
      </c>
      <c r="Q149" s="20" t="str">
        <f aca="false">IF(K149&gt;0,H149/K149,"")</f>
        <v/>
      </c>
      <c r="R149" s="20" t="str">
        <f aca="false">IF(I149&gt;0,H149/I149*1000,"")</f>
        <v/>
      </c>
      <c r="S149" s="23" t="str">
        <f aca="false">IF(K149&gt;0,N149/K149,"")</f>
        <v/>
      </c>
      <c r="T149" s="20" t="str">
        <f aca="false">IF(N149&gt;0,H149/N149,"")</f>
        <v/>
      </c>
      <c r="U149" s="18" t="str">
        <f aca="false">IF(H149&gt;0,O149/H149,"")</f>
        <v/>
      </c>
      <c r="V149" s="20" t="str">
        <f aca="false">IF(N149&gt;0,O149/N149,"")</f>
        <v/>
      </c>
      <c r="W149" s="20" t="str">
        <f aca="false">IF(H149&gt;0,O149*الإعدادات!$B$5-H149,"")</f>
        <v/>
      </c>
      <c r="X149" s="23" t="str">
        <f aca="false">IF(AND(I149&gt;0,A149&lt;&gt;""),P149-IFERROR(INDEX(الإعدادات!$B$15:$B$18,MATCH(A149,الإعدادات!$A$15:$A$18,0)),0),"")</f>
        <v/>
      </c>
      <c r="Y149" s="12" t="str">
        <f aca="false">IF(H149="","",IF(H149&lt;الإعدادات!$B$9,"بيانات غير كافية — انتظر",IF(N149=0,"إيقاف أو إعادة بناء (إنفاق بلا مبيعات)",IF(H149/N149&gt;الإعدادات!$B$8*1.5,"خفض الميزانية + اختبار إبداعات جديدة",IF(O149/H149&gt;=الإعدادات!$B$6*1.2,"توسيع الميزانية تدريجياً",IF(O149/H149&gt;=الإعدادات!$B$7,IF(AND(X149&lt;&gt;"",X149&lt;0),"رابحة — حدّث الإبداعات لرفع CTR","رابحة — حافظ وحسّن"),"تحت التعادل — حسّن الصفحة/العرض أو أوقف"))))))</f>
        <v/>
      </c>
    </row>
    <row r="150" customFormat="false" ht="15" hidden="false" customHeight="false" outlineLevel="0" collapsed="false">
      <c r="A150" s="14"/>
      <c r="B150" s="14"/>
      <c r="C150" s="14"/>
      <c r="D150" s="14"/>
      <c r="E150" s="14"/>
      <c r="F150" s="14"/>
      <c r="G150" s="14"/>
      <c r="H150" s="19"/>
      <c r="I150" s="22"/>
      <c r="J150" s="22"/>
      <c r="K150" s="22"/>
      <c r="L150" s="22"/>
      <c r="M150" s="22"/>
      <c r="N150" s="22"/>
      <c r="O150" s="19"/>
      <c r="P150" s="23" t="str">
        <f aca="false">IF(I150&gt;0,K150/I150,"")</f>
        <v/>
      </c>
      <c r="Q150" s="20" t="str">
        <f aca="false">IF(K150&gt;0,H150/K150,"")</f>
        <v/>
      </c>
      <c r="R150" s="20" t="str">
        <f aca="false">IF(I150&gt;0,H150/I150*1000,"")</f>
        <v/>
      </c>
      <c r="S150" s="23" t="str">
        <f aca="false">IF(K150&gt;0,N150/K150,"")</f>
        <v/>
      </c>
      <c r="T150" s="20" t="str">
        <f aca="false">IF(N150&gt;0,H150/N150,"")</f>
        <v/>
      </c>
      <c r="U150" s="18" t="str">
        <f aca="false">IF(H150&gt;0,O150/H150,"")</f>
        <v/>
      </c>
      <c r="V150" s="20" t="str">
        <f aca="false">IF(N150&gt;0,O150/N150,"")</f>
        <v/>
      </c>
      <c r="W150" s="20" t="str">
        <f aca="false">IF(H150&gt;0,O150*الإعدادات!$B$5-H150,"")</f>
        <v/>
      </c>
      <c r="X150" s="23" t="str">
        <f aca="false">IF(AND(I150&gt;0,A150&lt;&gt;""),P150-IFERROR(INDEX(الإعدادات!$B$15:$B$18,MATCH(A150,الإعدادات!$A$15:$A$18,0)),0),"")</f>
        <v/>
      </c>
      <c r="Y150" s="12" t="str">
        <f aca="false">IF(H150="","",IF(H150&lt;الإعدادات!$B$9,"بيانات غير كافية — انتظر",IF(N150=0,"إيقاف أو إعادة بناء (إنفاق بلا مبيعات)",IF(H150/N150&gt;الإعدادات!$B$8*1.5,"خفض الميزانية + اختبار إبداعات جديدة",IF(O150/H150&gt;=الإعدادات!$B$6*1.2,"توسيع الميزانية تدريجياً",IF(O150/H150&gt;=الإعدادات!$B$7,IF(AND(X150&lt;&gt;"",X150&lt;0),"رابحة — حدّث الإبداعات لرفع CTR","رابحة — حافظ وحسّن"),"تحت التعادل — حسّن الصفحة/العرض أو أوقف"))))))</f>
        <v/>
      </c>
    </row>
    <row r="151" customFormat="false" ht="15" hidden="false" customHeight="false" outlineLevel="0" collapsed="false">
      <c r="A151" s="14"/>
      <c r="B151" s="14"/>
      <c r="C151" s="14"/>
      <c r="D151" s="14"/>
      <c r="E151" s="14"/>
      <c r="F151" s="14"/>
      <c r="G151" s="14"/>
      <c r="H151" s="19"/>
      <c r="I151" s="22"/>
      <c r="J151" s="22"/>
      <c r="K151" s="22"/>
      <c r="L151" s="22"/>
      <c r="M151" s="22"/>
      <c r="N151" s="22"/>
      <c r="O151" s="19"/>
      <c r="P151" s="23" t="str">
        <f aca="false">IF(I151&gt;0,K151/I151,"")</f>
        <v/>
      </c>
      <c r="Q151" s="20" t="str">
        <f aca="false">IF(K151&gt;0,H151/K151,"")</f>
        <v/>
      </c>
      <c r="R151" s="20" t="str">
        <f aca="false">IF(I151&gt;0,H151/I151*1000,"")</f>
        <v/>
      </c>
      <c r="S151" s="23" t="str">
        <f aca="false">IF(K151&gt;0,N151/K151,"")</f>
        <v/>
      </c>
      <c r="T151" s="20" t="str">
        <f aca="false">IF(N151&gt;0,H151/N151,"")</f>
        <v/>
      </c>
      <c r="U151" s="18" t="str">
        <f aca="false">IF(H151&gt;0,O151/H151,"")</f>
        <v/>
      </c>
      <c r="V151" s="20" t="str">
        <f aca="false">IF(N151&gt;0,O151/N151,"")</f>
        <v/>
      </c>
      <c r="W151" s="20" t="str">
        <f aca="false">IF(H151&gt;0,O151*الإعدادات!$B$5-H151,"")</f>
        <v/>
      </c>
      <c r="X151" s="23" t="str">
        <f aca="false">IF(AND(I151&gt;0,A151&lt;&gt;""),P151-IFERROR(INDEX(الإعدادات!$B$15:$B$18,MATCH(A151,الإعدادات!$A$15:$A$18,0)),0),"")</f>
        <v/>
      </c>
      <c r="Y151" s="12" t="str">
        <f aca="false">IF(H151="","",IF(H151&lt;الإعدادات!$B$9,"بيانات غير كافية — انتظر",IF(N151=0,"إيقاف أو إعادة بناء (إنفاق بلا مبيعات)",IF(H151/N151&gt;الإعدادات!$B$8*1.5,"خفض الميزانية + اختبار إبداعات جديدة",IF(O151/H151&gt;=الإعدادات!$B$6*1.2,"توسيع الميزانية تدريجياً",IF(O151/H151&gt;=الإعدادات!$B$7,IF(AND(X151&lt;&gt;"",X151&lt;0),"رابحة — حدّث الإبداعات لرفع CTR","رابحة — حافظ وحسّن"),"تحت التعادل — حسّن الصفحة/العرض أو أوقف"))))))</f>
        <v/>
      </c>
    </row>
    <row r="152" customFormat="false" ht="15" hidden="false" customHeight="false" outlineLevel="0" collapsed="false">
      <c r="A152" s="14"/>
      <c r="B152" s="14"/>
      <c r="C152" s="14"/>
      <c r="D152" s="14"/>
      <c r="E152" s="14"/>
      <c r="F152" s="14"/>
      <c r="G152" s="14"/>
      <c r="H152" s="19"/>
      <c r="I152" s="22"/>
      <c r="J152" s="22"/>
      <c r="K152" s="22"/>
      <c r="L152" s="22"/>
      <c r="M152" s="22"/>
      <c r="N152" s="22"/>
      <c r="O152" s="19"/>
      <c r="P152" s="23" t="str">
        <f aca="false">IF(I152&gt;0,K152/I152,"")</f>
        <v/>
      </c>
      <c r="Q152" s="20" t="str">
        <f aca="false">IF(K152&gt;0,H152/K152,"")</f>
        <v/>
      </c>
      <c r="R152" s="20" t="str">
        <f aca="false">IF(I152&gt;0,H152/I152*1000,"")</f>
        <v/>
      </c>
      <c r="S152" s="23" t="str">
        <f aca="false">IF(K152&gt;0,N152/K152,"")</f>
        <v/>
      </c>
      <c r="T152" s="20" t="str">
        <f aca="false">IF(N152&gt;0,H152/N152,"")</f>
        <v/>
      </c>
      <c r="U152" s="18" t="str">
        <f aca="false">IF(H152&gt;0,O152/H152,"")</f>
        <v/>
      </c>
      <c r="V152" s="20" t="str">
        <f aca="false">IF(N152&gt;0,O152/N152,"")</f>
        <v/>
      </c>
      <c r="W152" s="20" t="str">
        <f aca="false">IF(H152&gt;0,O152*الإعدادات!$B$5-H152,"")</f>
        <v/>
      </c>
      <c r="X152" s="23" t="str">
        <f aca="false">IF(AND(I152&gt;0,A152&lt;&gt;""),P152-IFERROR(INDEX(الإعدادات!$B$15:$B$18,MATCH(A152,الإعدادات!$A$15:$A$18,0)),0),"")</f>
        <v/>
      </c>
      <c r="Y152" s="12" t="str">
        <f aca="false">IF(H152="","",IF(H152&lt;الإعدادات!$B$9,"بيانات غير كافية — انتظر",IF(N152=0,"إيقاف أو إعادة بناء (إنفاق بلا مبيعات)",IF(H152/N152&gt;الإعدادات!$B$8*1.5,"خفض الميزانية + اختبار إبداعات جديدة",IF(O152/H152&gt;=الإعدادات!$B$6*1.2,"توسيع الميزانية تدريجياً",IF(O152/H152&gt;=الإعدادات!$B$7,IF(AND(X152&lt;&gt;"",X152&lt;0),"رابحة — حدّث الإبداعات لرفع CTR","رابحة — حافظ وحسّن"),"تحت التعادل — حسّن الصفحة/العرض أو أوقف"))))))</f>
        <v/>
      </c>
    </row>
    <row r="153" customFormat="false" ht="15" hidden="false" customHeight="false" outlineLevel="0" collapsed="false">
      <c r="A153" s="14"/>
      <c r="B153" s="14"/>
      <c r="C153" s="14"/>
      <c r="D153" s="14"/>
      <c r="E153" s="14"/>
      <c r="F153" s="14"/>
      <c r="G153" s="14"/>
      <c r="H153" s="19"/>
      <c r="I153" s="22"/>
      <c r="J153" s="22"/>
      <c r="K153" s="22"/>
      <c r="L153" s="22"/>
      <c r="M153" s="22"/>
      <c r="N153" s="22"/>
      <c r="O153" s="19"/>
      <c r="P153" s="23" t="str">
        <f aca="false">IF(I153&gt;0,K153/I153,"")</f>
        <v/>
      </c>
      <c r="Q153" s="20" t="str">
        <f aca="false">IF(K153&gt;0,H153/K153,"")</f>
        <v/>
      </c>
      <c r="R153" s="20" t="str">
        <f aca="false">IF(I153&gt;0,H153/I153*1000,"")</f>
        <v/>
      </c>
      <c r="S153" s="23" t="str">
        <f aca="false">IF(K153&gt;0,N153/K153,"")</f>
        <v/>
      </c>
      <c r="T153" s="20" t="str">
        <f aca="false">IF(N153&gt;0,H153/N153,"")</f>
        <v/>
      </c>
      <c r="U153" s="18" t="str">
        <f aca="false">IF(H153&gt;0,O153/H153,"")</f>
        <v/>
      </c>
      <c r="V153" s="20" t="str">
        <f aca="false">IF(N153&gt;0,O153/N153,"")</f>
        <v/>
      </c>
      <c r="W153" s="20" t="str">
        <f aca="false">IF(H153&gt;0,O153*الإعدادات!$B$5-H153,"")</f>
        <v/>
      </c>
      <c r="X153" s="23" t="str">
        <f aca="false">IF(AND(I153&gt;0,A153&lt;&gt;""),P153-IFERROR(INDEX(الإعدادات!$B$15:$B$18,MATCH(A153,الإعدادات!$A$15:$A$18,0)),0),"")</f>
        <v/>
      </c>
      <c r="Y153" s="12" t="str">
        <f aca="false">IF(H153="","",IF(H153&lt;الإعدادات!$B$9,"بيانات غير كافية — انتظر",IF(N153=0,"إيقاف أو إعادة بناء (إنفاق بلا مبيعات)",IF(H153/N153&gt;الإعدادات!$B$8*1.5,"خفض الميزانية + اختبار إبداعات جديدة",IF(O153/H153&gt;=الإعدادات!$B$6*1.2,"توسيع الميزانية تدريجياً",IF(O153/H153&gt;=الإعدادات!$B$7,IF(AND(X153&lt;&gt;"",X153&lt;0),"رابحة — حدّث الإبداعات لرفع CTR","رابحة — حافظ وحسّن"),"تحت التعادل — حسّن الصفحة/العرض أو أوقف"))))))</f>
        <v/>
      </c>
    </row>
    <row r="154" customFormat="false" ht="15" hidden="false" customHeight="false" outlineLevel="0" collapsed="false">
      <c r="A154" s="14"/>
      <c r="B154" s="14"/>
      <c r="C154" s="14"/>
      <c r="D154" s="14"/>
      <c r="E154" s="14"/>
      <c r="F154" s="14"/>
      <c r="G154" s="14"/>
      <c r="H154" s="19"/>
      <c r="I154" s="22"/>
      <c r="J154" s="22"/>
      <c r="K154" s="22"/>
      <c r="L154" s="22"/>
      <c r="M154" s="22"/>
      <c r="N154" s="22"/>
      <c r="O154" s="19"/>
      <c r="P154" s="23" t="str">
        <f aca="false">IF(I154&gt;0,K154/I154,"")</f>
        <v/>
      </c>
      <c r="Q154" s="20" t="str">
        <f aca="false">IF(K154&gt;0,H154/K154,"")</f>
        <v/>
      </c>
      <c r="R154" s="20" t="str">
        <f aca="false">IF(I154&gt;0,H154/I154*1000,"")</f>
        <v/>
      </c>
      <c r="S154" s="23" t="str">
        <f aca="false">IF(K154&gt;0,N154/K154,"")</f>
        <v/>
      </c>
      <c r="T154" s="20" t="str">
        <f aca="false">IF(N154&gt;0,H154/N154,"")</f>
        <v/>
      </c>
      <c r="U154" s="18" t="str">
        <f aca="false">IF(H154&gt;0,O154/H154,"")</f>
        <v/>
      </c>
      <c r="V154" s="20" t="str">
        <f aca="false">IF(N154&gt;0,O154/N154,"")</f>
        <v/>
      </c>
      <c r="W154" s="20" t="str">
        <f aca="false">IF(H154&gt;0,O154*الإعدادات!$B$5-H154,"")</f>
        <v/>
      </c>
      <c r="X154" s="23" t="str">
        <f aca="false">IF(AND(I154&gt;0,A154&lt;&gt;""),P154-IFERROR(INDEX(الإعدادات!$B$15:$B$18,MATCH(A154,الإعدادات!$A$15:$A$18,0)),0),"")</f>
        <v/>
      </c>
      <c r="Y154" s="12" t="str">
        <f aca="false">IF(H154="","",IF(H154&lt;الإعدادات!$B$9,"بيانات غير كافية — انتظر",IF(N154=0,"إيقاف أو إعادة بناء (إنفاق بلا مبيعات)",IF(H154/N154&gt;الإعدادات!$B$8*1.5,"خفض الميزانية + اختبار إبداعات جديدة",IF(O154/H154&gt;=الإعدادات!$B$6*1.2,"توسيع الميزانية تدريجياً",IF(O154/H154&gt;=الإعدادات!$B$7,IF(AND(X154&lt;&gt;"",X154&lt;0),"رابحة — حدّث الإبداعات لرفع CTR","رابحة — حافظ وحسّن"),"تحت التعادل — حسّن الصفحة/العرض أو أوقف"))))))</f>
        <v/>
      </c>
    </row>
    <row r="155" customFormat="false" ht="15" hidden="false" customHeight="false" outlineLevel="0" collapsed="false">
      <c r="A155" s="14"/>
      <c r="B155" s="14"/>
      <c r="C155" s="14"/>
      <c r="D155" s="14"/>
      <c r="E155" s="14"/>
      <c r="F155" s="14"/>
      <c r="G155" s="14"/>
      <c r="H155" s="19"/>
      <c r="I155" s="22"/>
      <c r="J155" s="22"/>
      <c r="K155" s="22"/>
      <c r="L155" s="22"/>
      <c r="M155" s="22"/>
      <c r="N155" s="22"/>
      <c r="O155" s="19"/>
      <c r="P155" s="23" t="str">
        <f aca="false">IF(I155&gt;0,K155/I155,"")</f>
        <v/>
      </c>
      <c r="Q155" s="20" t="str">
        <f aca="false">IF(K155&gt;0,H155/K155,"")</f>
        <v/>
      </c>
      <c r="R155" s="20" t="str">
        <f aca="false">IF(I155&gt;0,H155/I155*1000,"")</f>
        <v/>
      </c>
      <c r="S155" s="23" t="str">
        <f aca="false">IF(K155&gt;0,N155/K155,"")</f>
        <v/>
      </c>
      <c r="T155" s="20" t="str">
        <f aca="false">IF(N155&gt;0,H155/N155,"")</f>
        <v/>
      </c>
      <c r="U155" s="18" t="str">
        <f aca="false">IF(H155&gt;0,O155/H155,"")</f>
        <v/>
      </c>
      <c r="V155" s="20" t="str">
        <f aca="false">IF(N155&gt;0,O155/N155,"")</f>
        <v/>
      </c>
      <c r="W155" s="20" t="str">
        <f aca="false">IF(H155&gt;0,O155*الإعدادات!$B$5-H155,"")</f>
        <v/>
      </c>
      <c r="X155" s="23" t="str">
        <f aca="false">IF(AND(I155&gt;0,A155&lt;&gt;""),P155-IFERROR(INDEX(الإعدادات!$B$15:$B$18,MATCH(A155,الإعدادات!$A$15:$A$18,0)),0),"")</f>
        <v/>
      </c>
      <c r="Y155" s="12" t="str">
        <f aca="false">IF(H155="","",IF(H155&lt;الإعدادات!$B$9,"بيانات غير كافية — انتظر",IF(N155=0,"إيقاف أو إعادة بناء (إنفاق بلا مبيعات)",IF(H155/N155&gt;الإعدادات!$B$8*1.5,"خفض الميزانية + اختبار إبداعات جديدة",IF(O155/H155&gt;=الإعدادات!$B$6*1.2,"توسيع الميزانية تدريجياً",IF(O155/H155&gt;=الإعدادات!$B$7,IF(AND(X155&lt;&gt;"",X155&lt;0),"رابحة — حدّث الإبداعات لرفع CTR","رابحة — حافظ وحسّن"),"تحت التعادل — حسّن الصفحة/العرض أو أوقف"))))))</f>
        <v/>
      </c>
    </row>
    <row r="156" customFormat="false" ht="15" hidden="false" customHeight="false" outlineLevel="0" collapsed="false">
      <c r="A156" s="14"/>
      <c r="B156" s="14"/>
      <c r="C156" s="14"/>
      <c r="D156" s="14"/>
      <c r="E156" s="14"/>
      <c r="F156" s="14"/>
      <c r="G156" s="14"/>
      <c r="H156" s="19"/>
      <c r="I156" s="22"/>
      <c r="J156" s="22"/>
      <c r="K156" s="22"/>
      <c r="L156" s="22"/>
      <c r="M156" s="22"/>
      <c r="N156" s="22"/>
      <c r="O156" s="19"/>
      <c r="P156" s="23" t="str">
        <f aca="false">IF(I156&gt;0,K156/I156,"")</f>
        <v/>
      </c>
      <c r="Q156" s="20" t="str">
        <f aca="false">IF(K156&gt;0,H156/K156,"")</f>
        <v/>
      </c>
      <c r="R156" s="20" t="str">
        <f aca="false">IF(I156&gt;0,H156/I156*1000,"")</f>
        <v/>
      </c>
      <c r="S156" s="23" t="str">
        <f aca="false">IF(K156&gt;0,N156/K156,"")</f>
        <v/>
      </c>
      <c r="T156" s="20" t="str">
        <f aca="false">IF(N156&gt;0,H156/N156,"")</f>
        <v/>
      </c>
      <c r="U156" s="18" t="str">
        <f aca="false">IF(H156&gt;0,O156/H156,"")</f>
        <v/>
      </c>
      <c r="V156" s="20" t="str">
        <f aca="false">IF(N156&gt;0,O156/N156,"")</f>
        <v/>
      </c>
      <c r="W156" s="20" t="str">
        <f aca="false">IF(H156&gt;0,O156*الإعدادات!$B$5-H156,"")</f>
        <v/>
      </c>
      <c r="X156" s="23" t="str">
        <f aca="false">IF(AND(I156&gt;0,A156&lt;&gt;""),P156-IFERROR(INDEX(الإعدادات!$B$15:$B$18,MATCH(A156,الإعدادات!$A$15:$A$18,0)),0),"")</f>
        <v/>
      </c>
      <c r="Y156" s="12" t="str">
        <f aca="false">IF(H156="","",IF(H156&lt;الإعدادات!$B$9,"بيانات غير كافية — انتظر",IF(N156=0,"إيقاف أو إعادة بناء (إنفاق بلا مبيعات)",IF(H156/N156&gt;الإعدادات!$B$8*1.5,"خفض الميزانية + اختبار إبداعات جديدة",IF(O156/H156&gt;=الإعدادات!$B$6*1.2,"توسيع الميزانية تدريجياً",IF(O156/H156&gt;=الإعدادات!$B$7,IF(AND(X156&lt;&gt;"",X156&lt;0),"رابحة — حدّث الإبداعات لرفع CTR","رابحة — حافظ وحسّن"),"تحت التعادل — حسّن الصفحة/العرض أو أوقف"))))))</f>
        <v/>
      </c>
    </row>
    <row r="157" customFormat="false" ht="15" hidden="false" customHeight="false" outlineLevel="0" collapsed="false">
      <c r="A157" s="14"/>
      <c r="B157" s="14"/>
      <c r="C157" s="14"/>
      <c r="D157" s="14"/>
      <c r="E157" s="14"/>
      <c r="F157" s="14"/>
      <c r="G157" s="14"/>
      <c r="H157" s="19"/>
      <c r="I157" s="22"/>
      <c r="J157" s="22"/>
      <c r="K157" s="22"/>
      <c r="L157" s="22"/>
      <c r="M157" s="22"/>
      <c r="N157" s="22"/>
      <c r="O157" s="19"/>
      <c r="P157" s="23" t="str">
        <f aca="false">IF(I157&gt;0,K157/I157,"")</f>
        <v/>
      </c>
      <c r="Q157" s="20" t="str">
        <f aca="false">IF(K157&gt;0,H157/K157,"")</f>
        <v/>
      </c>
      <c r="R157" s="20" t="str">
        <f aca="false">IF(I157&gt;0,H157/I157*1000,"")</f>
        <v/>
      </c>
      <c r="S157" s="23" t="str">
        <f aca="false">IF(K157&gt;0,N157/K157,"")</f>
        <v/>
      </c>
      <c r="T157" s="20" t="str">
        <f aca="false">IF(N157&gt;0,H157/N157,"")</f>
        <v/>
      </c>
      <c r="U157" s="18" t="str">
        <f aca="false">IF(H157&gt;0,O157/H157,"")</f>
        <v/>
      </c>
      <c r="V157" s="20" t="str">
        <f aca="false">IF(N157&gt;0,O157/N157,"")</f>
        <v/>
      </c>
      <c r="W157" s="20" t="str">
        <f aca="false">IF(H157&gt;0,O157*الإعدادات!$B$5-H157,"")</f>
        <v/>
      </c>
      <c r="X157" s="23" t="str">
        <f aca="false">IF(AND(I157&gt;0,A157&lt;&gt;""),P157-IFERROR(INDEX(الإعدادات!$B$15:$B$18,MATCH(A157,الإعدادات!$A$15:$A$18,0)),0),"")</f>
        <v/>
      </c>
      <c r="Y157" s="12" t="str">
        <f aca="false">IF(H157="","",IF(H157&lt;الإعدادات!$B$9,"بيانات غير كافية — انتظر",IF(N157=0,"إيقاف أو إعادة بناء (إنفاق بلا مبيعات)",IF(H157/N157&gt;الإعدادات!$B$8*1.5,"خفض الميزانية + اختبار إبداعات جديدة",IF(O157/H157&gt;=الإعدادات!$B$6*1.2,"توسيع الميزانية تدريجياً",IF(O157/H157&gt;=الإعدادات!$B$7,IF(AND(X157&lt;&gt;"",X157&lt;0),"رابحة — حدّث الإبداعات لرفع CTR","رابحة — حافظ وحسّن"),"تحت التعادل — حسّن الصفحة/العرض أو أوقف"))))))</f>
        <v/>
      </c>
    </row>
    <row r="158" customFormat="false" ht="15" hidden="false" customHeight="false" outlineLevel="0" collapsed="false">
      <c r="A158" s="14"/>
      <c r="B158" s="14"/>
      <c r="C158" s="14"/>
      <c r="D158" s="14"/>
      <c r="E158" s="14"/>
      <c r="F158" s="14"/>
      <c r="G158" s="14"/>
      <c r="H158" s="19"/>
      <c r="I158" s="22"/>
      <c r="J158" s="22"/>
      <c r="K158" s="22"/>
      <c r="L158" s="22"/>
      <c r="M158" s="22"/>
      <c r="N158" s="22"/>
      <c r="O158" s="19"/>
      <c r="P158" s="23" t="str">
        <f aca="false">IF(I158&gt;0,K158/I158,"")</f>
        <v/>
      </c>
      <c r="Q158" s="20" t="str">
        <f aca="false">IF(K158&gt;0,H158/K158,"")</f>
        <v/>
      </c>
      <c r="R158" s="20" t="str">
        <f aca="false">IF(I158&gt;0,H158/I158*1000,"")</f>
        <v/>
      </c>
      <c r="S158" s="23" t="str">
        <f aca="false">IF(K158&gt;0,N158/K158,"")</f>
        <v/>
      </c>
      <c r="T158" s="20" t="str">
        <f aca="false">IF(N158&gt;0,H158/N158,"")</f>
        <v/>
      </c>
      <c r="U158" s="18" t="str">
        <f aca="false">IF(H158&gt;0,O158/H158,"")</f>
        <v/>
      </c>
      <c r="V158" s="20" t="str">
        <f aca="false">IF(N158&gt;0,O158/N158,"")</f>
        <v/>
      </c>
      <c r="W158" s="20" t="str">
        <f aca="false">IF(H158&gt;0,O158*الإعدادات!$B$5-H158,"")</f>
        <v/>
      </c>
      <c r="X158" s="23" t="str">
        <f aca="false">IF(AND(I158&gt;0,A158&lt;&gt;""),P158-IFERROR(INDEX(الإعدادات!$B$15:$B$18,MATCH(A158,الإعدادات!$A$15:$A$18,0)),0),"")</f>
        <v/>
      </c>
      <c r="Y158" s="12" t="str">
        <f aca="false">IF(H158="","",IF(H158&lt;الإعدادات!$B$9,"بيانات غير كافية — انتظر",IF(N158=0,"إيقاف أو إعادة بناء (إنفاق بلا مبيعات)",IF(H158/N158&gt;الإعدادات!$B$8*1.5,"خفض الميزانية + اختبار إبداعات جديدة",IF(O158/H158&gt;=الإعدادات!$B$6*1.2,"توسيع الميزانية تدريجياً",IF(O158/H158&gt;=الإعدادات!$B$7,IF(AND(X158&lt;&gt;"",X158&lt;0),"رابحة — حدّث الإبداعات لرفع CTR","رابحة — حافظ وحسّن"),"تحت التعادل — حسّن الصفحة/العرض أو أوقف"))))))</f>
        <v/>
      </c>
    </row>
    <row r="159" customFormat="false" ht="15" hidden="false" customHeight="false" outlineLevel="0" collapsed="false">
      <c r="A159" s="14"/>
      <c r="B159" s="14"/>
      <c r="C159" s="14"/>
      <c r="D159" s="14"/>
      <c r="E159" s="14"/>
      <c r="F159" s="14"/>
      <c r="G159" s="14"/>
      <c r="H159" s="19"/>
      <c r="I159" s="22"/>
      <c r="J159" s="22"/>
      <c r="K159" s="22"/>
      <c r="L159" s="22"/>
      <c r="M159" s="22"/>
      <c r="N159" s="22"/>
      <c r="O159" s="19"/>
      <c r="P159" s="23" t="str">
        <f aca="false">IF(I159&gt;0,K159/I159,"")</f>
        <v/>
      </c>
      <c r="Q159" s="20" t="str">
        <f aca="false">IF(K159&gt;0,H159/K159,"")</f>
        <v/>
      </c>
      <c r="R159" s="20" t="str">
        <f aca="false">IF(I159&gt;0,H159/I159*1000,"")</f>
        <v/>
      </c>
      <c r="S159" s="23" t="str">
        <f aca="false">IF(K159&gt;0,N159/K159,"")</f>
        <v/>
      </c>
      <c r="T159" s="20" t="str">
        <f aca="false">IF(N159&gt;0,H159/N159,"")</f>
        <v/>
      </c>
      <c r="U159" s="18" t="str">
        <f aca="false">IF(H159&gt;0,O159/H159,"")</f>
        <v/>
      </c>
      <c r="V159" s="20" t="str">
        <f aca="false">IF(N159&gt;0,O159/N159,"")</f>
        <v/>
      </c>
      <c r="W159" s="20" t="str">
        <f aca="false">IF(H159&gt;0,O159*الإعدادات!$B$5-H159,"")</f>
        <v/>
      </c>
      <c r="X159" s="23" t="str">
        <f aca="false">IF(AND(I159&gt;0,A159&lt;&gt;""),P159-IFERROR(INDEX(الإعدادات!$B$15:$B$18,MATCH(A159,الإعدادات!$A$15:$A$18,0)),0),"")</f>
        <v/>
      </c>
      <c r="Y159" s="12" t="str">
        <f aca="false">IF(H159="","",IF(H159&lt;الإعدادات!$B$9,"بيانات غير كافية — انتظر",IF(N159=0,"إيقاف أو إعادة بناء (إنفاق بلا مبيعات)",IF(H159/N159&gt;الإعدادات!$B$8*1.5,"خفض الميزانية + اختبار إبداعات جديدة",IF(O159/H159&gt;=الإعدادات!$B$6*1.2,"توسيع الميزانية تدريجياً",IF(O159/H159&gt;=الإعدادات!$B$7,IF(AND(X159&lt;&gt;"",X159&lt;0),"رابحة — حدّث الإبداعات لرفع CTR","رابحة — حافظ وحسّن"),"تحت التعادل — حسّن الصفحة/العرض أو أوقف"))))))</f>
        <v/>
      </c>
    </row>
    <row r="160" customFormat="false" ht="15" hidden="false" customHeight="false" outlineLevel="0" collapsed="false">
      <c r="A160" s="14"/>
      <c r="B160" s="14"/>
      <c r="C160" s="14"/>
      <c r="D160" s="14"/>
      <c r="E160" s="14"/>
      <c r="F160" s="14"/>
      <c r="G160" s="14"/>
      <c r="H160" s="19"/>
      <c r="I160" s="22"/>
      <c r="J160" s="22"/>
      <c r="K160" s="22"/>
      <c r="L160" s="22"/>
      <c r="M160" s="22"/>
      <c r="N160" s="22"/>
      <c r="O160" s="19"/>
      <c r="P160" s="23" t="str">
        <f aca="false">IF(I160&gt;0,K160/I160,"")</f>
        <v/>
      </c>
      <c r="Q160" s="20" t="str">
        <f aca="false">IF(K160&gt;0,H160/K160,"")</f>
        <v/>
      </c>
      <c r="R160" s="20" t="str">
        <f aca="false">IF(I160&gt;0,H160/I160*1000,"")</f>
        <v/>
      </c>
      <c r="S160" s="23" t="str">
        <f aca="false">IF(K160&gt;0,N160/K160,"")</f>
        <v/>
      </c>
      <c r="T160" s="20" t="str">
        <f aca="false">IF(N160&gt;0,H160/N160,"")</f>
        <v/>
      </c>
      <c r="U160" s="18" t="str">
        <f aca="false">IF(H160&gt;0,O160/H160,"")</f>
        <v/>
      </c>
      <c r="V160" s="20" t="str">
        <f aca="false">IF(N160&gt;0,O160/N160,"")</f>
        <v/>
      </c>
      <c r="W160" s="20" t="str">
        <f aca="false">IF(H160&gt;0,O160*الإعدادات!$B$5-H160,"")</f>
        <v/>
      </c>
      <c r="X160" s="23" t="str">
        <f aca="false">IF(AND(I160&gt;0,A160&lt;&gt;""),P160-IFERROR(INDEX(الإعدادات!$B$15:$B$18,MATCH(A160,الإعدادات!$A$15:$A$18,0)),0),"")</f>
        <v/>
      </c>
      <c r="Y160" s="12" t="str">
        <f aca="false">IF(H160="","",IF(H160&lt;الإعدادات!$B$9,"بيانات غير كافية — انتظر",IF(N160=0,"إيقاف أو إعادة بناء (إنفاق بلا مبيعات)",IF(H160/N160&gt;الإعدادات!$B$8*1.5,"خفض الميزانية + اختبار إبداعات جديدة",IF(O160/H160&gt;=الإعدادات!$B$6*1.2,"توسيع الميزانية تدريجياً",IF(O160/H160&gt;=الإعدادات!$B$7,IF(AND(X160&lt;&gt;"",X160&lt;0),"رابحة — حدّث الإبداعات لرفع CTR","رابحة — حافظ وحسّن"),"تحت التعادل — حسّن الصفحة/العرض أو أوقف"))))))</f>
        <v/>
      </c>
    </row>
    <row r="161" customFormat="false" ht="15" hidden="false" customHeight="false" outlineLevel="0" collapsed="false">
      <c r="A161" s="14"/>
      <c r="B161" s="14"/>
      <c r="C161" s="14"/>
      <c r="D161" s="14"/>
      <c r="E161" s="14"/>
      <c r="F161" s="14"/>
      <c r="G161" s="14"/>
      <c r="H161" s="19"/>
      <c r="I161" s="22"/>
      <c r="J161" s="22"/>
      <c r="K161" s="22"/>
      <c r="L161" s="22"/>
      <c r="M161" s="22"/>
      <c r="N161" s="22"/>
      <c r="O161" s="19"/>
      <c r="P161" s="23" t="str">
        <f aca="false">IF(I161&gt;0,K161/I161,"")</f>
        <v/>
      </c>
      <c r="Q161" s="20" t="str">
        <f aca="false">IF(K161&gt;0,H161/K161,"")</f>
        <v/>
      </c>
      <c r="R161" s="20" t="str">
        <f aca="false">IF(I161&gt;0,H161/I161*1000,"")</f>
        <v/>
      </c>
      <c r="S161" s="23" t="str">
        <f aca="false">IF(K161&gt;0,N161/K161,"")</f>
        <v/>
      </c>
      <c r="T161" s="20" t="str">
        <f aca="false">IF(N161&gt;0,H161/N161,"")</f>
        <v/>
      </c>
      <c r="U161" s="18" t="str">
        <f aca="false">IF(H161&gt;0,O161/H161,"")</f>
        <v/>
      </c>
      <c r="V161" s="20" t="str">
        <f aca="false">IF(N161&gt;0,O161/N161,"")</f>
        <v/>
      </c>
      <c r="W161" s="20" t="str">
        <f aca="false">IF(H161&gt;0,O161*الإعدادات!$B$5-H161,"")</f>
        <v/>
      </c>
      <c r="X161" s="23" t="str">
        <f aca="false">IF(AND(I161&gt;0,A161&lt;&gt;""),P161-IFERROR(INDEX(الإعدادات!$B$15:$B$18,MATCH(A161,الإعدادات!$A$15:$A$18,0)),0),"")</f>
        <v/>
      </c>
      <c r="Y161" s="12" t="str">
        <f aca="false">IF(H161="","",IF(H161&lt;الإعدادات!$B$9,"بيانات غير كافية — انتظر",IF(N161=0,"إيقاف أو إعادة بناء (إنفاق بلا مبيعات)",IF(H161/N161&gt;الإعدادات!$B$8*1.5,"خفض الميزانية + اختبار إبداعات جديدة",IF(O161/H161&gt;=الإعدادات!$B$6*1.2,"توسيع الميزانية تدريجياً",IF(O161/H161&gt;=الإعدادات!$B$7,IF(AND(X161&lt;&gt;"",X161&lt;0),"رابحة — حدّث الإبداعات لرفع CTR","رابحة — حافظ وحسّن"),"تحت التعادل — حسّن الصفحة/العرض أو أوقف"))))))</f>
        <v/>
      </c>
    </row>
    <row r="162" customFormat="false" ht="15" hidden="false" customHeight="false" outlineLevel="0" collapsed="false">
      <c r="A162" s="14"/>
      <c r="B162" s="14"/>
      <c r="C162" s="14"/>
      <c r="D162" s="14"/>
      <c r="E162" s="14"/>
      <c r="F162" s="14"/>
      <c r="G162" s="14"/>
      <c r="H162" s="19"/>
      <c r="I162" s="22"/>
      <c r="J162" s="22"/>
      <c r="K162" s="22"/>
      <c r="L162" s="22"/>
      <c r="M162" s="22"/>
      <c r="N162" s="22"/>
      <c r="O162" s="19"/>
      <c r="P162" s="23" t="str">
        <f aca="false">IF(I162&gt;0,K162/I162,"")</f>
        <v/>
      </c>
      <c r="Q162" s="20" t="str">
        <f aca="false">IF(K162&gt;0,H162/K162,"")</f>
        <v/>
      </c>
      <c r="R162" s="20" t="str">
        <f aca="false">IF(I162&gt;0,H162/I162*1000,"")</f>
        <v/>
      </c>
      <c r="S162" s="23" t="str">
        <f aca="false">IF(K162&gt;0,N162/K162,"")</f>
        <v/>
      </c>
      <c r="T162" s="20" t="str">
        <f aca="false">IF(N162&gt;0,H162/N162,"")</f>
        <v/>
      </c>
      <c r="U162" s="18" t="str">
        <f aca="false">IF(H162&gt;0,O162/H162,"")</f>
        <v/>
      </c>
      <c r="V162" s="20" t="str">
        <f aca="false">IF(N162&gt;0,O162/N162,"")</f>
        <v/>
      </c>
      <c r="W162" s="20" t="str">
        <f aca="false">IF(H162&gt;0,O162*الإعدادات!$B$5-H162,"")</f>
        <v/>
      </c>
      <c r="X162" s="23" t="str">
        <f aca="false">IF(AND(I162&gt;0,A162&lt;&gt;""),P162-IFERROR(INDEX(الإعدادات!$B$15:$B$18,MATCH(A162,الإعدادات!$A$15:$A$18,0)),0),"")</f>
        <v/>
      </c>
      <c r="Y162" s="12" t="str">
        <f aca="false">IF(H162="","",IF(H162&lt;الإعدادات!$B$9,"بيانات غير كافية — انتظر",IF(N162=0,"إيقاف أو إعادة بناء (إنفاق بلا مبيعات)",IF(H162/N162&gt;الإعدادات!$B$8*1.5,"خفض الميزانية + اختبار إبداعات جديدة",IF(O162/H162&gt;=الإعدادات!$B$6*1.2,"توسيع الميزانية تدريجياً",IF(O162/H162&gt;=الإعدادات!$B$7,IF(AND(X162&lt;&gt;"",X162&lt;0),"رابحة — حدّث الإبداعات لرفع CTR","رابحة — حافظ وحسّن"),"تحت التعادل — حسّن الصفحة/العرض أو أوقف"))))))</f>
        <v/>
      </c>
    </row>
    <row r="163" customFormat="false" ht="15" hidden="false" customHeight="false" outlineLevel="0" collapsed="false">
      <c r="A163" s="14"/>
      <c r="B163" s="14"/>
      <c r="C163" s="14"/>
      <c r="D163" s="14"/>
      <c r="E163" s="14"/>
      <c r="F163" s="14"/>
      <c r="G163" s="14"/>
      <c r="H163" s="19"/>
      <c r="I163" s="22"/>
      <c r="J163" s="22"/>
      <c r="K163" s="22"/>
      <c r="L163" s="22"/>
      <c r="M163" s="22"/>
      <c r="N163" s="22"/>
      <c r="O163" s="19"/>
      <c r="P163" s="23" t="str">
        <f aca="false">IF(I163&gt;0,K163/I163,"")</f>
        <v/>
      </c>
      <c r="Q163" s="20" t="str">
        <f aca="false">IF(K163&gt;0,H163/K163,"")</f>
        <v/>
      </c>
      <c r="R163" s="20" t="str">
        <f aca="false">IF(I163&gt;0,H163/I163*1000,"")</f>
        <v/>
      </c>
      <c r="S163" s="23" t="str">
        <f aca="false">IF(K163&gt;0,N163/K163,"")</f>
        <v/>
      </c>
      <c r="T163" s="20" t="str">
        <f aca="false">IF(N163&gt;0,H163/N163,"")</f>
        <v/>
      </c>
      <c r="U163" s="18" t="str">
        <f aca="false">IF(H163&gt;0,O163/H163,"")</f>
        <v/>
      </c>
      <c r="V163" s="20" t="str">
        <f aca="false">IF(N163&gt;0,O163/N163,"")</f>
        <v/>
      </c>
      <c r="W163" s="20" t="str">
        <f aca="false">IF(H163&gt;0,O163*الإعدادات!$B$5-H163,"")</f>
        <v/>
      </c>
      <c r="X163" s="23" t="str">
        <f aca="false">IF(AND(I163&gt;0,A163&lt;&gt;""),P163-IFERROR(INDEX(الإعدادات!$B$15:$B$18,MATCH(A163,الإعدادات!$A$15:$A$18,0)),0),"")</f>
        <v/>
      </c>
      <c r="Y163" s="12" t="str">
        <f aca="false">IF(H163="","",IF(H163&lt;الإعدادات!$B$9,"بيانات غير كافية — انتظر",IF(N163=0,"إيقاف أو إعادة بناء (إنفاق بلا مبيعات)",IF(H163/N163&gt;الإعدادات!$B$8*1.5,"خفض الميزانية + اختبار إبداعات جديدة",IF(O163/H163&gt;=الإعدادات!$B$6*1.2,"توسيع الميزانية تدريجياً",IF(O163/H163&gt;=الإعدادات!$B$7,IF(AND(X163&lt;&gt;"",X163&lt;0),"رابحة — حدّث الإبداعات لرفع CTR","رابحة — حافظ وحسّن"),"تحت التعادل — حسّن الصفحة/العرض أو أوقف"))))))</f>
        <v/>
      </c>
    </row>
    <row r="164" customFormat="false" ht="15" hidden="false" customHeight="false" outlineLevel="0" collapsed="false">
      <c r="A164" s="14"/>
      <c r="B164" s="14"/>
      <c r="C164" s="14"/>
      <c r="D164" s="14"/>
      <c r="E164" s="14"/>
      <c r="F164" s="14"/>
      <c r="G164" s="14"/>
      <c r="H164" s="19"/>
      <c r="I164" s="22"/>
      <c r="J164" s="22"/>
      <c r="K164" s="22"/>
      <c r="L164" s="22"/>
      <c r="M164" s="22"/>
      <c r="N164" s="22"/>
      <c r="O164" s="19"/>
      <c r="P164" s="23" t="str">
        <f aca="false">IF(I164&gt;0,K164/I164,"")</f>
        <v/>
      </c>
      <c r="Q164" s="20" t="str">
        <f aca="false">IF(K164&gt;0,H164/K164,"")</f>
        <v/>
      </c>
      <c r="R164" s="20" t="str">
        <f aca="false">IF(I164&gt;0,H164/I164*1000,"")</f>
        <v/>
      </c>
      <c r="S164" s="23" t="str">
        <f aca="false">IF(K164&gt;0,N164/K164,"")</f>
        <v/>
      </c>
      <c r="T164" s="20" t="str">
        <f aca="false">IF(N164&gt;0,H164/N164,"")</f>
        <v/>
      </c>
      <c r="U164" s="18" t="str">
        <f aca="false">IF(H164&gt;0,O164/H164,"")</f>
        <v/>
      </c>
      <c r="V164" s="20" t="str">
        <f aca="false">IF(N164&gt;0,O164/N164,"")</f>
        <v/>
      </c>
      <c r="W164" s="20" t="str">
        <f aca="false">IF(H164&gt;0,O164*الإعدادات!$B$5-H164,"")</f>
        <v/>
      </c>
      <c r="X164" s="23" t="str">
        <f aca="false">IF(AND(I164&gt;0,A164&lt;&gt;""),P164-IFERROR(INDEX(الإعدادات!$B$15:$B$18,MATCH(A164,الإعدادات!$A$15:$A$18,0)),0),"")</f>
        <v/>
      </c>
      <c r="Y164" s="12" t="str">
        <f aca="false">IF(H164="","",IF(H164&lt;الإعدادات!$B$9,"بيانات غير كافية — انتظر",IF(N164=0,"إيقاف أو إعادة بناء (إنفاق بلا مبيعات)",IF(H164/N164&gt;الإعدادات!$B$8*1.5,"خفض الميزانية + اختبار إبداعات جديدة",IF(O164/H164&gt;=الإعدادات!$B$6*1.2,"توسيع الميزانية تدريجياً",IF(O164/H164&gt;=الإعدادات!$B$7,IF(AND(X164&lt;&gt;"",X164&lt;0),"رابحة — حدّث الإبداعات لرفع CTR","رابحة — حافظ وحسّن"),"تحت التعادل — حسّن الصفحة/العرض أو أوقف"))))))</f>
        <v/>
      </c>
    </row>
    <row r="165" customFormat="false" ht="15" hidden="false" customHeight="false" outlineLevel="0" collapsed="false">
      <c r="A165" s="14"/>
      <c r="B165" s="14"/>
      <c r="C165" s="14"/>
      <c r="D165" s="14"/>
      <c r="E165" s="14"/>
      <c r="F165" s="14"/>
      <c r="G165" s="14"/>
      <c r="H165" s="19"/>
      <c r="I165" s="22"/>
      <c r="J165" s="22"/>
      <c r="K165" s="22"/>
      <c r="L165" s="22"/>
      <c r="M165" s="22"/>
      <c r="N165" s="22"/>
      <c r="O165" s="19"/>
      <c r="P165" s="23" t="str">
        <f aca="false">IF(I165&gt;0,K165/I165,"")</f>
        <v/>
      </c>
      <c r="Q165" s="20" t="str">
        <f aca="false">IF(K165&gt;0,H165/K165,"")</f>
        <v/>
      </c>
      <c r="R165" s="20" t="str">
        <f aca="false">IF(I165&gt;0,H165/I165*1000,"")</f>
        <v/>
      </c>
      <c r="S165" s="23" t="str">
        <f aca="false">IF(K165&gt;0,N165/K165,"")</f>
        <v/>
      </c>
      <c r="T165" s="20" t="str">
        <f aca="false">IF(N165&gt;0,H165/N165,"")</f>
        <v/>
      </c>
      <c r="U165" s="18" t="str">
        <f aca="false">IF(H165&gt;0,O165/H165,"")</f>
        <v/>
      </c>
      <c r="V165" s="20" t="str">
        <f aca="false">IF(N165&gt;0,O165/N165,"")</f>
        <v/>
      </c>
      <c r="W165" s="20" t="str">
        <f aca="false">IF(H165&gt;0,O165*الإعدادات!$B$5-H165,"")</f>
        <v/>
      </c>
      <c r="X165" s="23" t="str">
        <f aca="false">IF(AND(I165&gt;0,A165&lt;&gt;""),P165-IFERROR(INDEX(الإعدادات!$B$15:$B$18,MATCH(A165,الإعدادات!$A$15:$A$18,0)),0),"")</f>
        <v/>
      </c>
      <c r="Y165" s="12" t="str">
        <f aca="false">IF(H165="","",IF(H165&lt;الإعدادات!$B$9,"بيانات غير كافية — انتظر",IF(N165=0,"إيقاف أو إعادة بناء (إنفاق بلا مبيعات)",IF(H165/N165&gt;الإعدادات!$B$8*1.5,"خفض الميزانية + اختبار إبداعات جديدة",IF(O165/H165&gt;=الإعدادات!$B$6*1.2,"توسيع الميزانية تدريجياً",IF(O165/H165&gt;=الإعدادات!$B$7,IF(AND(X165&lt;&gt;"",X165&lt;0),"رابحة — حدّث الإبداعات لرفع CTR","رابحة — حافظ وحسّن"),"تحت التعادل — حسّن الصفحة/العرض أو أوقف"))))))</f>
        <v/>
      </c>
    </row>
    <row r="166" customFormat="false" ht="15" hidden="false" customHeight="false" outlineLevel="0" collapsed="false">
      <c r="A166" s="14"/>
      <c r="B166" s="14"/>
      <c r="C166" s="14"/>
      <c r="D166" s="14"/>
      <c r="E166" s="14"/>
      <c r="F166" s="14"/>
      <c r="G166" s="14"/>
      <c r="H166" s="19"/>
      <c r="I166" s="22"/>
      <c r="J166" s="22"/>
      <c r="K166" s="22"/>
      <c r="L166" s="22"/>
      <c r="M166" s="22"/>
      <c r="N166" s="22"/>
      <c r="O166" s="19"/>
      <c r="P166" s="23" t="str">
        <f aca="false">IF(I166&gt;0,K166/I166,"")</f>
        <v/>
      </c>
      <c r="Q166" s="20" t="str">
        <f aca="false">IF(K166&gt;0,H166/K166,"")</f>
        <v/>
      </c>
      <c r="R166" s="20" t="str">
        <f aca="false">IF(I166&gt;0,H166/I166*1000,"")</f>
        <v/>
      </c>
      <c r="S166" s="23" t="str">
        <f aca="false">IF(K166&gt;0,N166/K166,"")</f>
        <v/>
      </c>
      <c r="T166" s="20" t="str">
        <f aca="false">IF(N166&gt;0,H166/N166,"")</f>
        <v/>
      </c>
      <c r="U166" s="18" t="str">
        <f aca="false">IF(H166&gt;0,O166/H166,"")</f>
        <v/>
      </c>
      <c r="V166" s="20" t="str">
        <f aca="false">IF(N166&gt;0,O166/N166,"")</f>
        <v/>
      </c>
      <c r="W166" s="20" t="str">
        <f aca="false">IF(H166&gt;0,O166*الإعدادات!$B$5-H166,"")</f>
        <v/>
      </c>
      <c r="X166" s="23" t="str">
        <f aca="false">IF(AND(I166&gt;0,A166&lt;&gt;""),P166-IFERROR(INDEX(الإعدادات!$B$15:$B$18,MATCH(A166,الإعدادات!$A$15:$A$18,0)),0),"")</f>
        <v/>
      </c>
      <c r="Y166" s="12" t="str">
        <f aca="false">IF(H166="","",IF(H166&lt;الإعدادات!$B$9,"بيانات غير كافية — انتظر",IF(N166=0,"إيقاف أو إعادة بناء (إنفاق بلا مبيعات)",IF(H166/N166&gt;الإعدادات!$B$8*1.5,"خفض الميزانية + اختبار إبداعات جديدة",IF(O166/H166&gt;=الإعدادات!$B$6*1.2,"توسيع الميزانية تدريجياً",IF(O166/H166&gt;=الإعدادات!$B$7,IF(AND(X166&lt;&gt;"",X166&lt;0),"رابحة — حدّث الإبداعات لرفع CTR","رابحة — حافظ وحسّن"),"تحت التعادل — حسّن الصفحة/العرض أو أوقف"))))))</f>
        <v/>
      </c>
    </row>
    <row r="167" customFormat="false" ht="15" hidden="false" customHeight="false" outlineLevel="0" collapsed="false">
      <c r="A167" s="14"/>
      <c r="B167" s="14"/>
      <c r="C167" s="14"/>
      <c r="D167" s="14"/>
      <c r="E167" s="14"/>
      <c r="F167" s="14"/>
      <c r="G167" s="14"/>
      <c r="H167" s="19"/>
      <c r="I167" s="22"/>
      <c r="J167" s="22"/>
      <c r="K167" s="22"/>
      <c r="L167" s="22"/>
      <c r="M167" s="22"/>
      <c r="N167" s="22"/>
      <c r="O167" s="19"/>
      <c r="P167" s="23" t="str">
        <f aca="false">IF(I167&gt;0,K167/I167,"")</f>
        <v/>
      </c>
      <c r="Q167" s="20" t="str">
        <f aca="false">IF(K167&gt;0,H167/K167,"")</f>
        <v/>
      </c>
      <c r="R167" s="20" t="str">
        <f aca="false">IF(I167&gt;0,H167/I167*1000,"")</f>
        <v/>
      </c>
      <c r="S167" s="23" t="str">
        <f aca="false">IF(K167&gt;0,N167/K167,"")</f>
        <v/>
      </c>
      <c r="T167" s="20" t="str">
        <f aca="false">IF(N167&gt;0,H167/N167,"")</f>
        <v/>
      </c>
      <c r="U167" s="18" t="str">
        <f aca="false">IF(H167&gt;0,O167/H167,"")</f>
        <v/>
      </c>
      <c r="V167" s="20" t="str">
        <f aca="false">IF(N167&gt;0,O167/N167,"")</f>
        <v/>
      </c>
      <c r="W167" s="20" t="str">
        <f aca="false">IF(H167&gt;0,O167*الإعدادات!$B$5-H167,"")</f>
        <v/>
      </c>
      <c r="X167" s="23" t="str">
        <f aca="false">IF(AND(I167&gt;0,A167&lt;&gt;""),P167-IFERROR(INDEX(الإعدادات!$B$15:$B$18,MATCH(A167,الإعدادات!$A$15:$A$18,0)),0),"")</f>
        <v/>
      </c>
      <c r="Y167" s="12" t="str">
        <f aca="false">IF(H167="","",IF(H167&lt;الإعدادات!$B$9,"بيانات غير كافية — انتظر",IF(N167=0,"إيقاف أو إعادة بناء (إنفاق بلا مبيعات)",IF(H167/N167&gt;الإعدادات!$B$8*1.5,"خفض الميزانية + اختبار إبداعات جديدة",IF(O167/H167&gt;=الإعدادات!$B$6*1.2,"توسيع الميزانية تدريجياً",IF(O167/H167&gt;=الإعدادات!$B$7,IF(AND(X167&lt;&gt;"",X167&lt;0),"رابحة — حدّث الإبداعات لرفع CTR","رابحة — حافظ وحسّن"),"تحت التعادل — حسّن الصفحة/العرض أو أوقف"))))))</f>
        <v/>
      </c>
    </row>
    <row r="168" customFormat="false" ht="15" hidden="false" customHeight="false" outlineLevel="0" collapsed="false">
      <c r="A168" s="14"/>
      <c r="B168" s="14"/>
      <c r="C168" s="14"/>
      <c r="D168" s="14"/>
      <c r="E168" s="14"/>
      <c r="F168" s="14"/>
      <c r="G168" s="14"/>
      <c r="H168" s="19"/>
      <c r="I168" s="22"/>
      <c r="J168" s="22"/>
      <c r="K168" s="22"/>
      <c r="L168" s="22"/>
      <c r="M168" s="22"/>
      <c r="N168" s="22"/>
      <c r="O168" s="19"/>
      <c r="P168" s="23" t="str">
        <f aca="false">IF(I168&gt;0,K168/I168,"")</f>
        <v/>
      </c>
      <c r="Q168" s="20" t="str">
        <f aca="false">IF(K168&gt;0,H168/K168,"")</f>
        <v/>
      </c>
      <c r="R168" s="20" t="str">
        <f aca="false">IF(I168&gt;0,H168/I168*1000,"")</f>
        <v/>
      </c>
      <c r="S168" s="23" t="str">
        <f aca="false">IF(K168&gt;0,N168/K168,"")</f>
        <v/>
      </c>
      <c r="T168" s="20" t="str">
        <f aca="false">IF(N168&gt;0,H168/N168,"")</f>
        <v/>
      </c>
      <c r="U168" s="18" t="str">
        <f aca="false">IF(H168&gt;0,O168/H168,"")</f>
        <v/>
      </c>
      <c r="V168" s="20" t="str">
        <f aca="false">IF(N168&gt;0,O168/N168,"")</f>
        <v/>
      </c>
      <c r="W168" s="20" t="str">
        <f aca="false">IF(H168&gt;0,O168*الإعدادات!$B$5-H168,"")</f>
        <v/>
      </c>
      <c r="X168" s="23" t="str">
        <f aca="false">IF(AND(I168&gt;0,A168&lt;&gt;""),P168-IFERROR(INDEX(الإعدادات!$B$15:$B$18,MATCH(A168,الإعدادات!$A$15:$A$18,0)),0),"")</f>
        <v/>
      </c>
      <c r="Y168" s="12" t="str">
        <f aca="false">IF(H168="","",IF(H168&lt;الإعدادات!$B$9,"بيانات غير كافية — انتظر",IF(N168=0,"إيقاف أو إعادة بناء (إنفاق بلا مبيعات)",IF(H168/N168&gt;الإعدادات!$B$8*1.5,"خفض الميزانية + اختبار إبداعات جديدة",IF(O168/H168&gt;=الإعدادات!$B$6*1.2,"توسيع الميزانية تدريجياً",IF(O168/H168&gt;=الإعدادات!$B$7,IF(AND(X168&lt;&gt;"",X168&lt;0),"رابحة — حدّث الإبداعات لرفع CTR","رابحة — حافظ وحسّن"),"تحت التعادل — حسّن الصفحة/العرض أو أوقف"))))))</f>
        <v/>
      </c>
    </row>
    <row r="169" customFormat="false" ht="15" hidden="false" customHeight="false" outlineLevel="0" collapsed="false">
      <c r="A169" s="14"/>
      <c r="B169" s="14"/>
      <c r="C169" s="14"/>
      <c r="D169" s="14"/>
      <c r="E169" s="14"/>
      <c r="F169" s="14"/>
      <c r="G169" s="14"/>
      <c r="H169" s="19"/>
      <c r="I169" s="22"/>
      <c r="J169" s="22"/>
      <c r="K169" s="22"/>
      <c r="L169" s="22"/>
      <c r="M169" s="22"/>
      <c r="N169" s="22"/>
      <c r="O169" s="19"/>
      <c r="P169" s="23" t="str">
        <f aca="false">IF(I169&gt;0,K169/I169,"")</f>
        <v/>
      </c>
      <c r="Q169" s="20" t="str">
        <f aca="false">IF(K169&gt;0,H169/K169,"")</f>
        <v/>
      </c>
      <c r="R169" s="20" t="str">
        <f aca="false">IF(I169&gt;0,H169/I169*1000,"")</f>
        <v/>
      </c>
      <c r="S169" s="23" t="str">
        <f aca="false">IF(K169&gt;0,N169/K169,"")</f>
        <v/>
      </c>
      <c r="T169" s="20" t="str">
        <f aca="false">IF(N169&gt;0,H169/N169,"")</f>
        <v/>
      </c>
      <c r="U169" s="18" t="str">
        <f aca="false">IF(H169&gt;0,O169/H169,"")</f>
        <v/>
      </c>
      <c r="V169" s="20" t="str">
        <f aca="false">IF(N169&gt;0,O169/N169,"")</f>
        <v/>
      </c>
      <c r="W169" s="20" t="str">
        <f aca="false">IF(H169&gt;0,O169*الإعدادات!$B$5-H169,"")</f>
        <v/>
      </c>
      <c r="X169" s="23" t="str">
        <f aca="false">IF(AND(I169&gt;0,A169&lt;&gt;""),P169-IFERROR(INDEX(الإعدادات!$B$15:$B$18,MATCH(A169,الإعدادات!$A$15:$A$18,0)),0),"")</f>
        <v/>
      </c>
      <c r="Y169" s="12" t="str">
        <f aca="false">IF(H169="","",IF(H169&lt;الإعدادات!$B$9,"بيانات غير كافية — انتظر",IF(N169=0,"إيقاف أو إعادة بناء (إنفاق بلا مبيعات)",IF(H169/N169&gt;الإعدادات!$B$8*1.5,"خفض الميزانية + اختبار إبداعات جديدة",IF(O169/H169&gt;=الإعدادات!$B$6*1.2,"توسيع الميزانية تدريجياً",IF(O169/H169&gt;=الإعدادات!$B$7,IF(AND(X169&lt;&gt;"",X169&lt;0),"رابحة — حدّث الإبداعات لرفع CTR","رابحة — حافظ وحسّن"),"تحت التعادل — حسّن الصفحة/العرض أو أوقف"))))))</f>
        <v/>
      </c>
    </row>
    <row r="170" customFormat="false" ht="15" hidden="false" customHeight="false" outlineLevel="0" collapsed="false">
      <c r="A170" s="14"/>
      <c r="B170" s="14"/>
      <c r="C170" s="14"/>
      <c r="D170" s="14"/>
      <c r="E170" s="14"/>
      <c r="F170" s="14"/>
      <c r="G170" s="14"/>
      <c r="H170" s="19"/>
      <c r="I170" s="22"/>
      <c r="J170" s="22"/>
      <c r="K170" s="22"/>
      <c r="L170" s="22"/>
      <c r="M170" s="22"/>
      <c r="N170" s="22"/>
      <c r="O170" s="19"/>
      <c r="P170" s="23" t="str">
        <f aca="false">IF(I170&gt;0,K170/I170,"")</f>
        <v/>
      </c>
      <c r="Q170" s="20" t="str">
        <f aca="false">IF(K170&gt;0,H170/K170,"")</f>
        <v/>
      </c>
      <c r="R170" s="20" t="str">
        <f aca="false">IF(I170&gt;0,H170/I170*1000,"")</f>
        <v/>
      </c>
      <c r="S170" s="23" t="str">
        <f aca="false">IF(K170&gt;0,N170/K170,"")</f>
        <v/>
      </c>
      <c r="T170" s="20" t="str">
        <f aca="false">IF(N170&gt;0,H170/N170,"")</f>
        <v/>
      </c>
      <c r="U170" s="18" t="str">
        <f aca="false">IF(H170&gt;0,O170/H170,"")</f>
        <v/>
      </c>
      <c r="V170" s="20" t="str">
        <f aca="false">IF(N170&gt;0,O170/N170,"")</f>
        <v/>
      </c>
      <c r="W170" s="20" t="str">
        <f aca="false">IF(H170&gt;0,O170*الإعدادات!$B$5-H170,"")</f>
        <v/>
      </c>
      <c r="X170" s="23" t="str">
        <f aca="false">IF(AND(I170&gt;0,A170&lt;&gt;""),P170-IFERROR(INDEX(الإعدادات!$B$15:$B$18,MATCH(A170,الإعدادات!$A$15:$A$18,0)),0),"")</f>
        <v/>
      </c>
      <c r="Y170" s="12" t="str">
        <f aca="false">IF(H170="","",IF(H170&lt;الإعدادات!$B$9,"بيانات غير كافية — انتظر",IF(N170=0,"إيقاف أو إعادة بناء (إنفاق بلا مبيعات)",IF(H170/N170&gt;الإعدادات!$B$8*1.5,"خفض الميزانية + اختبار إبداعات جديدة",IF(O170/H170&gt;=الإعدادات!$B$6*1.2,"توسيع الميزانية تدريجياً",IF(O170/H170&gt;=الإعدادات!$B$7,IF(AND(X170&lt;&gt;"",X170&lt;0),"رابحة — حدّث الإبداعات لرفع CTR","رابحة — حافظ وحسّن"),"تحت التعادل — حسّن الصفحة/العرض أو أوقف"))))))</f>
        <v/>
      </c>
    </row>
    <row r="171" customFormat="false" ht="15" hidden="false" customHeight="false" outlineLevel="0" collapsed="false">
      <c r="A171" s="14"/>
      <c r="B171" s="14"/>
      <c r="C171" s="14"/>
      <c r="D171" s="14"/>
      <c r="E171" s="14"/>
      <c r="F171" s="14"/>
      <c r="G171" s="14"/>
      <c r="H171" s="19"/>
      <c r="I171" s="22"/>
      <c r="J171" s="22"/>
      <c r="K171" s="22"/>
      <c r="L171" s="22"/>
      <c r="M171" s="22"/>
      <c r="N171" s="22"/>
      <c r="O171" s="19"/>
      <c r="P171" s="23" t="str">
        <f aca="false">IF(I171&gt;0,K171/I171,"")</f>
        <v/>
      </c>
      <c r="Q171" s="20" t="str">
        <f aca="false">IF(K171&gt;0,H171/K171,"")</f>
        <v/>
      </c>
      <c r="R171" s="20" t="str">
        <f aca="false">IF(I171&gt;0,H171/I171*1000,"")</f>
        <v/>
      </c>
      <c r="S171" s="23" t="str">
        <f aca="false">IF(K171&gt;0,N171/K171,"")</f>
        <v/>
      </c>
      <c r="T171" s="20" t="str">
        <f aca="false">IF(N171&gt;0,H171/N171,"")</f>
        <v/>
      </c>
      <c r="U171" s="18" t="str">
        <f aca="false">IF(H171&gt;0,O171/H171,"")</f>
        <v/>
      </c>
      <c r="V171" s="20" t="str">
        <f aca="false">IF(N171&gt;0,O171/N171,"")</f>
        <v/>
      </c>
      <c r="W171" s="20" t="str">
        <f aca="false">IF(H171&gt;0,O171*الإعدادات!$B$5-H171,"")</f>
        <v/>
      </c>
      <c r="X171" s="23" t="str">
        <f aca="false">IF(AND(I171&gt;0,A171&lt;&gt;""),P171-IFERROR(INDEX(الإعدادات!$B$15:$B$18,MATCH(A171,الإعدادات!$A$15:$A$18,0)),0),"")</f>
        <v/>
      </c>
      <c r="Y171" s="12" t="str">
        <f aca="false">IF(H171="","",IF(H171&lt;الإعدادات!$B$9,"بيانات غير كافية — انتظر",IF(N171=0,"إيقاف أو إعادة بناء (إنفاق بلا مبيعات)",IF(H171/N171&gt;الإعدادات!$B$8*1.5,"خفض الميزانية + اختبار إبداعات جديدة",IF(O171/H171&gt;=الإعدادات!$B$6*1.2,"توسيع الميزانية تدريجياً",IF(O171/H171&gt;=الإعدادات!$B$7,IF(AND(X171&lt;&gt;"",X171&lt;0),"رابحة — حدّث الإبداعات لرفع CTR","رابحة — حافظ وحسّن"),"تحت التعادل — حسّن الصفحة/العرض أو أوقف"))))))</f>
        <v/>
      </c>
    </row>
    <row r="172" customFormat="false" ht="15" hidden="false" customHeight="false" outlineLevel="0" collapsed="false">
      <c r="A172" s="14"/>
      <c r="B172" s="14"/>
      <c r="C172" s="14"/>
      <c r="D172" s="14"/>
      <c r="E172" s="14"/>
      <c r="F172" s="14"/>
      <c r="G172" s="14"/>
      <c r="H172" s="19"/>
      <c r="I172" s="22"/>
      <c r="J172" s="22"/>
      <c r="K172" s="22"/>
      <c r="L172" s="22"/>
      <c r="M172" s="22"/>
      <c r="N172" s="22"/>
      <c r="O172" s="19"/>
      <c r="P172" s="23" t="str">
        <f aca="false">IF(I172&gt;0,K172/I172,"")</f>
        <v/>
      </c>
      <c r="Q172" s="20" t="str">
        <f aca="false">IF(K172&gt;0,H172/K172,"")</f>
        <v/>
      </c>
      <c r="R172" s="20" t="str">
        <f aca="false">IF(I172&gt;0,H172/I172*1000,"")</f>
        <v/>
      </c>
      <c r="S172" s="23" t="str">
        <f aca="false">IF(K172&gt;0,N172/K172,"")</f>
        <v/>
      </c>
      <c r="T172" s="20" t="str">
        <f aca="false">IF(N172&gt;0,H172/N172,"")</f>
        <v/>
      </c>
      <c r="U172" s="18" t="str">
        <f aca="false">IF(H172&gt;0,O172/H172,"")</f>
        <v/>
      </c>
      <c r="V172" s="20" t="str">
        <f aca="false">IF(N172&gt;0,O172/N172,"")</f>
        <v/>
      </c>
      <c r="W172" s="20" t="str">
        <f aca="false">IF(H172&gt;0,O172*الإعدادات!$B$5-H172,"")</f>
        <v/>
      </c>
      <c r="X172" s="23" t="str">
        <f aca="false">IF(AND(I172&gt;0,A172&lt;&gt;""),P172-IFERROR(INDEX(الإعدادات!$B$15:$B$18,MATCH(A172,الإعدادات!$A$15:$A$18,0)),0),"")</f>
        <v/>
      </c>
      <c r="Y172" s="12" t="str">
        <f aca="false">IF(H172="","",IF(H172&lt;الإعدادات!$B$9,"بيانات غير كافية — انتظر",IF(N172=0,"إيقاف أو إعادة بناء (إنفاق بلا مبيعات)",IF(H172/N172&gt;الإعدادات!$B$8*1.5,"خفض الميزانية + اختبار إبداعات جديدة",IF(O172/H172&gt;=الإعدادات!$B$6*1.2,"توسيع الميزانية تدريجياً",IF(O172/H172&gt;=الإعدادات!$B$7,IF(AND(X172&lt;&gt;"",X172&lt;0),"رابحة — حدّث الإبداعات لرفع CTR","رابحة — حافظ وحسّن"),"تحت التعادل — حسّن الصفحة/العرض أو أوقف"))))))</f>
        <v/>
      </c>
    </row>
    <row r="173" customFormat="false" ht="15" hidden="false" customHeight="false" outlineLevel="0" collapsed="false">
      <c r="A173" s="14"/>
      <c r="B173" s="14"/>
      <c r="C173" s="14"/>
      <c r="D173" s="14"/>
      <c r="E173" s="14"/>
      <c r="F173" s="14"/>
      <c r="G173" s="14"/>
      <c r="H173" s="19"/>
      <c r="I173" s="22"/>
      <c r="J173" s="22"/>
      <c r="K173" s="22"/>
      <c r="L173" s="22"/>
      <c r="M173" s="22"/>
      <c r="N173" s="22"/>
      <c r="O173" s="19"/>
      <c r="P173" s="23" t="str">
        <f aca="false">IF(I173&gt;0,K173/I173,"")</f>
        <v/>
      </c>
      <c r="Q173" s="20" t="str">
        <f aca="false">IF(K173&gt;0,H173/K173,"")</f>
        <v/>
      </c>
      <c r="R173" s="20" t="str">
        <f aca="false">IF(I173&gt;0,H173/I173*1000,"")</f>
        <v/>
      </c>
      <c r="S173" s="23" t="str">
        <f aca="false">IF(K173&gt;0,N173/K173,"")</f>
        <v/>
      </c>
      <c r="T173" s="20" t="str">
        <f aca="false">IF(N173&gt;0,H173/N173,"")</f>
        <v/>
      </c>
      <c r="U173" s="18" t="str">
        <f aca="false">IF(H173&gt;0,O173/H173,"")</f>
        <v/>
      </c>
      <c r="V173" s="20" t="str">
        <f aca="false">IF(N173&gt;0,O173/N173,"")</f>
        <v/>
      </c>
      <c r="W173" s="20" t="str">
        <f aca="false">IF(H173&gt;0,O173*الإعدادات!$B$5-H173,"")</f>
        <v/>
      </c>
      <c r="X173" s="23" t="str">
        <f aca="false">IF(AND(I173&gt;0,A173&lt;&gt;""),P173-IFERROR(INDEX(الإعدادات!$B$15:$B$18,MATCH(A173,الإعدادات!$A$15:$A$18,0)),0),"")</f>
        <v/>
      </c>
      <c r="Y173" s="12" t="str">
        <f aca="false">IF(H173="","",IF(H173&lt;الإعدادات!$B$9,"بيانات غير كافية — انتظر",IF(N173=0,"إيقاف أو إعادة بناء (إنفاق بلا مبيعات)",IF(H173/N173&gt;الإعدادات!$B$8*1.5,"خفض الميزانية + اختبار إبداعات جديدة",IF(O173/H173&gt;=الإعدادات!$B$6*1.2,"توسيع الميزانية تدريجياً",IF(O173/H173&gt;=الإعدادات!$B$7,IF(AND(X173&lt;&gt;"",X173&lt;0),"رابحة — حدّث الإبداعات لرفع CTR","رابحة — حافظ وحسّن"),"تحت التعادل — حسّن الصفحة/العرض أو أوقف"))))))</f>
        <v/>
      </c>
    </row>
    <row r="174" customFormat="false" ht="15" hidden="false" customHeight="false" outlineLevel="0" collapsed="false">
      <c r="A174" s="14"/>
      <c r="B174" s="14"/>
      <c r="C174" s="14"/>
      <c r="D174" s="14"/>
      <c r="E174" s="14"/>
      <c r="F174" s="14"/>
      <c r="G174" s="14"/>
      <c r="H174" s="19"/>
      <c r="I174" s="22"/>
      <c r="J174" s="22"/>
      <c r="K174" s="22"/>
      <c r="L174" s="22"/>
      <c r="M174" s="22"/>
      <c r="N174" s="22"/>
      <c r="O174" s="19"/>
      <c r="P174" s="23" t="str">
        <f aca="false">IF(I174&gt;0,K174/I174,"")</f>
        <v/>
      </c>
      <c r="Q174" s="20" t="str">
        <f aca="false">IF(K174&gt;0,H174/K174,"")</f>
        <v/>
      </c>
      <c r="R174" s="20" t="str">
        <f aca="false">IF(I174&gt;0,H174/I174*1000,"")</f>
        <v/>
      </c>
      <c r="S174" s="23" t="str">
        <f aca="false">IF(K174&gt;0,N174/K174,"")</f>
        <v/>
      </c>
      <c r="T174" s="20" t="str">
        <f aca="false">IF(N174&gt;0,H174/N174,"")</f>
        <v/>
      </c>
      <c r="U174" s="18" t="str">
        <f aca="false">IF(H174&gt;0,O174/H174,"")</f>
        <v/>
      </c>
      <c r="V174" s="20" t="str">
        <f aca="false">IF(N174&gt;0,O174/N174,"")</f>
        <v/>
      </c>
      <c r="W174" s="20" t="str">
        <f aca="false">IF(H174&gt;0,O174*الإعدادات!$B$5-H174,"")</f>
        <v/>
      </c>
      <c r="X174" s="23" t="str">
        <f aca="false">IF(AND(I174&gt;0,A174&lt;&gt;""),P174-IFERROR(INDEX(الإعدادات!$B$15:$B$18,MATCH(A174,الإعدادات!$A$15:$A$18,0)),0),"")</f>
        <v/>
      </c>
      <c r="Y174" s="12" t="str">
        <f aca="false">IF(H174="","",IF(H174&lt;الإعدادات!$B$9,"بيانات غير كافية — انتظر",IF(N174=0,"إيقاف أو إعادة بناء (إنفاق بلا مبيعات)",IF(H174/N174&gt;الإعدادات!$B$8*1.5,"خفض الميزانية + اختبار إبداعات جديدة",IF(O174/H174&gt;=الإعدادات!$B$6*1.2,"توسيع الميزانية تدريجياً",IF(O174/H174&gt;=الإعدادات!$B$7,IF(AND(X174&lt;&gt;"",X174&lt;0),"رابحة — حدّث الإبداعات لرفع CTR","رابحة — حافظ وحسّن"),"تحت التعادل — حسّن الصفحة/العرض أو أوقف"))))))</f>
        <v/>
      </c>
    </row>
    <row r="175" customFormat="false" ht="15" hidden="false" customHeight="false" outlineLevel="0" collapsed="false">
      <c r="A175" s="14"/>
      <c r="B175" s="14"/>
      <c r="C175" s="14"/>
      <c r="D175" s="14"/>
      <c r="E175" s="14"/>
      <c r="F175" s="14"/>
      <c r="G175" s="14"/>
      <c r="H175" s="19"/>
      <c r="I175" s="22"/>
      <c r="J175" s="22"/>
      <c r="K175" s="22"/>
      <c r="L175" s="22"/>
      <c r="M175" s="22"/>
      <c r="N175" s="22"/>
      <c r="O175" s="19"/>
      <c r="P175" s="23" t="str">
        <f aca="false">IF(I175&gt;0,K175/I175,"")</f>
        <v/>
      </c>
      <c r="Q175" s="20" t="str">
        <f aca="false">IF(K175&gt;0,H175/K175,"")</f>
        <v/>
      </c>
      <c r="R175" s="20" t="str">
        <f aca="false">IF(I175&gt;0,H175/I175*1000,"")</f>
        <v/>
      </c>
      <c r="S175" s="23" t="str">
        <f aca="false">IF(K175&gt;0,N175/K175,"")</f>
        <v/>
      </c>
      <c r="T175" s="20" t="str">
        <f aca="false">IF(N175&gt;0,H175/N175,"")</f>
        <v/>
      </c>
      <c r="U175" s="18" t="str">
        <f aca="false">IF(H175&gt;0,O175/H175,"")</f>
        <v/>
      </c>
      <c r="V175" s="20" t="str">
        <f aca="false">IF(N175&gt;0,O175/N175,"")</f>
        <v/>
      </c>
      <c r="W175" s="20" t="str">
        <f aca="false">IF(H175&gt;0,O175*الإعدادات!$B$5-H175,"")</f>
        <v/>
      </c>
      <c r="X175" s="23" t="str">
        <f aca="false">IF(AND(I175&gt;0,A175&lt;&gt;""),P175-IFERROR(INDEX(الإعدادات!$B$15:$B$18,MATCH(A175,الإعدادات!$A$15:$A$18,0)),0),"")</f>
        <v/>
      </c>
      <c r="Y175" s="12" t="str">
        <f aca="false">IF(H175="","",IF(H175&lt;الإعدادات!$B$9,"بيانات غير كافية — انتظر",IF(N175=0,"إيقاف أو إعادة بناء (إنفاق بلا مبيعات)",IF(H175/N175&gt;الإعدادات!$B$8*1.5,"خفض الميزانية + اختبار إبداعات جديدة",IF(O175/H175&gt;=الإعدادات!$B$6*1.2,"توسيع الميزانية تدريجياً",IF(O175/H175&gt;=الإعدادات!$B$7,IF(AND(X175&lt;&gt;"",X175&lt;0),"رابحة — حدّث الإبداعات لرفع CTR","رابحة — حافظ وحسّن"),"تحت التعادل — حسّن الصفحة/العرض أو أوقف"))))))</f>
        <v/>
      </c>
    </row>
    <row r="176" customFormat="false" ht="15" hidden="false" customHeight="false" outlineLevel="0" collapsed="false">
      <c r="A176" s="14"/>
      <c r="B176" s="14"/>
      <c r="C176" s="14"/>
      <c r="D176" s="14"/>
      <c r="E176" s="14"/>
      <c r="F176" s="14"/>
      <c r="G176" s="14"/>
      <c r="H176" s="19"/>
      <c r="I176" s="22"/>
      <c r="J176" s="22"/>
      <c r="K176" s="22"/>
      <c r="L176" s="22"/>
      <c r="M176" s="22"/>
      <c r="N176" s="22"/>
      <c r="O176" s="19"/>
      <c r="P176" s="23" t="str">
        <f aca="false">IF(I176&gt;0,K176/I176,"")</f>
        <v/>
      </c>
      <c r="Q176" s="20" t="str">
        <f aca="false">IF(K176&gt;0,H176/K176,"")</f>
        <v/>
      </c>
      <c r="R176" s="20" t="str">
        <f aca="false">IF(I176&gt;0,H176/I176*1000,"")</f>
        <v/>
      </c>
      <c r="S176" s="23" t="str">
        <f aca="false">IF(K176&gt;0,N176/K176,"")</f>
        <v/>
      </c>
      <c r="T176" s="20" t="str">
        <f aca="false">IF(N176&gt;0,H176/N176,"")</f>
        <v/>
      </c>
      <c r="U176" s="18" t="str">
        <f aca="false">IF(H176&gt;0,O176/H176,"")</f>
        <v/>
      </c>
      <c r="V176" s="20" t="str">
        <f aca="false">IF(N176&gt;0,O176/N176,"")</f>
        <v/>
      </c>
      <c r="W176" s="20" t="str">
        <f aca="false">IF(H176&gt;0,O176*الإعدادات!$B$5-H176,"")</f>
        <v/>
      </c>
      <c r="X176" s="23" t="str">
        <f aca="false">IF(AND(I176&gt;0,A176&lt;&gt;""),P176-IFERROR(INDEX(الإعدادات!$B$15:$B$18,MATCH(A176,الإعدادات!$A$15:$A$18,0)),0),"")</f>
        <v/>
      </c>
      <c r="Y176" s="12" t="str">
        <f aca="false">IF(H176="","",IF(H176&lt;الإعدادات!$B$9,"بيانات غير كافية — انتظر",IF(N176=0,"إيقاف أو إعادة بناء (إنفاق بلا مبيعات)",IF(H176/N176&gt;الإعدادات!$B$8*1.5,"خفض الميزانية + اختبار إبداعات جديدة",IF(O176/H176&gt;=الإعدادات!$B$6*1.2,"توسيع الميزانية تدريجياً",IF(O176/H176&gt;=الإعدادات!$B$7,IF(AND(X176&lt;&gt;"",X176&lt;0),"رابحة — حدّث الإبداعات لرفع CTR","رابحة — حافظ وحسّن"),"تحت التعادل — حسّن الصفحة/العرض أو أوقف"))))))</f>
        <v/>
      </c>
    </row>
    <row r="177" customFormat="false" ht="15" hidden="false" customHeight="false" outlineLevel="0" collapsed="false">
      <c r="A177" s="14"/>
      <c r="B177" s="14"/>
      <c r="C177" s="14"/>
      <c r="D177" s="14"/>
      <c r="E177" s="14"/>
      <c r="F177" s="14"/>
      <c r="G177" s="14"/>
      <c r="H177" s="19"/>
      <c r="I177" s="22"/>
      <c r="J177" s="22"/>
      <c r="K177" s="22"/>
      <c r="L177" s="22"/>
      <c r="M177" s="22"/>
      <c r="N177" s="22"/>
      <c r="O177" s="19"/>
      <c r="P177" s="23" t="str">
        <f aca="false">IF(I177&gt;0,K177/I177,"")</f>
        <v/>
      </c>
      <c r="Q177" s="20" t="str">
        <f aca="false">IF(K177&gt;0,H177/K177,"")</f>
        <v/>
      </c>
      <c r="R177" s="20" t="str">
        <f aca="false">IF(I177&gt;0,H177/I177*1000,"")</f>
        <v/>
      </c>
      <c r="S177" s="23" t="str">
        <f aca="false">IF(K177&gt;0,N177/K177,"")</f>
        <v/>
      </c>
      <c r="T177" s="20" t="str">
        <f aca="false">IF(N177&gt;0,H177/N177,"")</f>
        <v/>
      </c>
      <c r="U177" s="18" t="str">
        <f aca="false">IF(H177&gt;0,O177/H177,"")</f>
        <v/>
      </c>
      <c r="V177" s="20" t="str">
        <f aca="false">IF(N177&gt;0,O177/N177,"")</f>
        <v/>
      </c>
      <c r="W177" s="20" t="str">
        <f aca="false">IF(H177&gt;0,O177*الإعدادات!$B$5-H177,"")</f>
        <v/>
      </c>
      <c r="X177" s="23" t="str">
        <f aca="false">IF(AND(I177&gt;0,A177&lt;&gt;""),P177-IFERROR(INDEX(الإعدادات!$B$15:$B$18,MATCH(A177,الإعدادات!$A$15:$A$18,0)),0),"")</f>
        <v/>
      </c>
      <c r="Y177" s="12" t="str">
        <f aca="false">IF(H177="","",IF(H177&lt;الإعدادات!$B$9,"بيانات غير كافية — انتظر",IF(N177=0,"إيقاف أو إعادة بناء (إنفاق بلا مبيعات)",IF(H177/N177&gt;الإعدادات!$B$8*1.5,"خفض الميزانية + اختبار إبداعات جديدة",IF(O177/H177&gt;=الإعدادات!$B$6*1.2,"توسيع الميزانية تدريجياً",IF(O177/H177&gt;=الإعدادات!$B$7,IF(AND(X177&lt;&gt;"",X177&lt;0),"رابحة — حدّث الإبداعات لرفع CTR","رابحة — حافظ وحسّن"),"تحت التعادل — حسّن الصفحة/العرض أو أوقف"))))))</f>
        <v/>
      </c>
    </row>
    <row r="178" customFormat="false" ht="15" hidden="false" customHeight="false" outlineLevel="0" collapsed="false">
      <c r="A178" s="14"/>
      <c r="B178" s="14"/>
      <c r="C178" s="14"/>
      <c r="D178" s="14"/>
      <c r="E178" s="14"/>
      <c r="F178" s="14"/>
      <c r="G178" s="14"/>
      <c r="H178" s="19"/>
      <c r="I178" s="22"/>
      <c r="J178" s="22"/>
      <c r="K178" s="22"/>
      <c r="L178" s="22"/>
      <c r="M178" s="22"/>
      <c r="N178" s="22"/>
      <c r="O178" s="19"/>
      <c r="P178" s="23" t="str">
        <f aca="false">IF(I178&gt;0,K178/I178,"")</f>
        <v/>
      </c>
      <c r="Q178" s="20" t="str">
        <f aca="false">IF(K178&gt;0,H178/K178,"")</f>
        <v/>
      </c>
      <c r="R178" s="20" t="str">
        <f aca="false">IF(I178&gt;0,H178/I178*1000,"")</f>
        <v/>
      </c>
      <c r="S178" s="23" t="str">
        <f aca="false">IF(K178&gt;0,N178/K178,"")</f>
        <v/>
      </c>
      <c r="T178" s="20" t="str">
        <f aca="false">IF(N178&gt;0,H178/N178,"")</f>
        <v/>
      </c>
      <c r="U178" s="18" t="str">
        <f aca="false">IF(H178&gt;0,O178/H178,"")</f>
        <v/>
      </c>
      <c r="V178" s="20" t="str">
        <f aca="false">IF(N178&gt;0,O178/N178,"")</f>
        <v/>
      </c>
      <c r="W178" s="20" t="str">
        <f aca="false">IF(H178&gt;0,O178*الإعدادات!$B$5-H178,"")</f>
        <v/>
      </c>
      <c r="X178" s="23" t="str">
        <f aca="false">IF(AND(I178&gt;0,A178&lt;&gt;""),P178-IFERROR(INDEX(الإعدادات!$B$15:$B$18,MATCH(A178,الإعدادات!$A$15:$A$18,0)),0),"")</f>
        <v/>
      </c>
      <c r="Y178" s="12" t="str">
        <f aca="false">IF(H178="","",IF(H178&lt;الإعدادات!$B$9,"بيانات غير كافية — انتظر",IF(N178=0,"إيقاف أو إعادة بناء (إنفاق بلا مبيعات)",IF(H178/N178&gt;الإعدادات!$B$8*1.5,"خفض الميزانية + اختبار إبداعات جديدة",IF(O178/H178&gt;=الإعدادات!$B$6*1.2,"توسيع الميزانية تدريجياً",IF(O178/H178&gt;=الإعدادات!$B$7,IF(AND(X178&lt;&gt;"",X178&lt;0),"رابحة — حدّث الإبداعات لرفع CTR","رابحة — حافظ وحسّن"),"تحت التعادل — حسّن الصفحة/العرض أو أوقف"))))))</f>
        <v/>
      </c>
    </row>
    <row r="179" customFormat="false" ht="15" hidden="false" customHeight="false" outlineLevel="0" collapsed="false">
      <c r="A179" s="14"/>
      <c r="B179" s="14"/>
      <c r="C179" s="14"/>
      <c r="D179" s="14"/>
      <c r="E179" s="14"/>
      <c r="F179" s="14"/>
      <c r="G179" s="14"/>
      <c r="H179" s="19"/>
      <c r="I179" s="22"/>
      <c r="J179" s="22"/>
      <c r="K179" s="22"/>
      <c r="L179" s="22"/>
      <c r="M179" s="22"/>
      <c r="N179" s="22"/>
      <c r="O179" s="19"/>
      <c r="P179" s="23" t="str">
        <f aca="false">IF(I179&gt;0,K179/I179,"")</f>
        <v/>
      </c>
      <c r="Q179" s="20" t="str">
        <f aca="false">IF(K179&gt;0,H179/K179,"")</f>
        <v/>
      </c>
      <c r="R179" s="20" t="str">
        <f aca="false">IF(I179&gt;0,H179/I179*1000,"")</f>
        <v/>
      </c>
      <c r="S179" s="23" t="str">
        <f aca="false">IF(K179&gt;0,N179/K179,"")</f>
        <v/>
      </c>
      <c r="T179" s="20" t="str">
        <f aca="false">IF(N179&gt;0,H179/N179,"")</f>
        <v/>
      </c>
      <c r="U179" s="18" t="str">
        <f aca="false">IF(H179&gt;0,O179/H179,"")</f>
        <v/>
      </c>
      <c r="V179" s="20" t="str">
        <f aca="false">IF(N179&gt;0,O179/N179,"")</f>
        <v/>
      </c>
      <c r="W179" s="20" t="str">
        <f aca="false">IF(H179&gt;0,O179*الإعدادات!$B$5-H179,"")</f>
        <v/>
      </c>
      <c r="X179" s="23" t="str">
        <f aca="false">IF(AND(I179&gt;0,A179&lt;&gt;""),P179-IFERROR(INDEX(الإعدادات!$B$15:$B$18,MATCH(A179,الإعدادات!$A$15:$A$18,0)),0),"")</f>
        <v/>
      </c>
      <c r="Y179" s="12" t="str">
        <f aca="false">IF(H179="","",IF(H179&lt;الإعدادات!$B$9,"بيانات غير كافية — انتظر",IF(N179=0,"إيقاف أو إعادة بناء (إنفاق بلا مبيعات)",IF(H179/N179&gt;الإعدادات!$B$8*1.5,"خفض الميزانية + اختبار إبداعات جديدة",IF(O179/H179&gt;=الإعدادات!$B$6*1.2,"توسيع الميزانية تدريجياً",IF(O179/H179&gt;=الإعدادات!$B$7,IF(AND(X179&lt;&gt;"",X179&lt;0),"رابحة — حدّث الإبداعات لرفع CTR","رابحة — حافظ وحسّن"),"تحت التعادل — حسّن الصفحة/العرض أو أوقف"))))))</f>
        <v/>
      </c>
    </row>
    <row r="180" customFormat="false" ht="15" hidden="false" customHeight="false" outlineLevel="0" collapsed="false">
      <c r="A180" s="14"/>
      <c r="B180" s="14"/>
      <c r="C180" s="14"/>
      <c r="D180" s="14"/>
      <c r="E180" s="14"/>
      <c r="F180" s="14"/>
      <c r="G180" s="14"/>
      <c r="H180" s="19"/>
      <c r="I180" s="22"/>
      <c r="J180" s="22"/>
      <c r="K180" s="22"/>
      <c r="L180" s="22"/>
      <c r="M180" s="22"/>
      <c r="N180" s="22"/>
      <c r="O180" s="19"/>
      <c r="P180" s="23" t="str">
        <f aca="false">IF(I180&gt;0,K180/I180,"")</f>
        <v/>
      </c>
      <c r="Q180" s="20" t="str">
        <f aca="false">IF(K180&gt;0,H180/K180,"")</f>
        <v/>
      </c>
      <c r="R180" s="20" t="str">
        <f aca="false">IF(I180&gt;0,H180/I180*1000,"")</f>
        <v/>
      </c>
      <c r="S180" s="23" t="str">
        <f aca="false">IF(K180&gt;0,N180/K180,"")</f>
        <v/>
      </c>
      <c r="T180" s="20" t="str">
        <f aca="false">IF(N180&gt;0,H180/N180,"")</f>
        <v/>
      </c>
      <c r="U180" s="18" t="str">
        <f aca="false">IF(H180&gt;0,O180/H180,"")</f>
        <v/>
      </c>
      <c r="V180" s="20" t="str">
        <f aca="false">IF(N180&gt;0,O180/N180,"")</f>
        <v/>
      </c>
      <c r="W180" s="20" t="str">
        <f aca="false">IF(H180&gt;0,O180*الإعدادات!$B$5-H180,"")</f>
        <v/>
      </c>
      <c r="X180" s="23" t="str">
        <f aca="false">IF(AND(I180&gt;0,A180&lt;&gt;""),P180-IFERROR(INDEX(الإعدادات!$B$15:$B$18,MATCH(A180,الإعدادات!$A$15:$A$18,0)),0),"")</f>
        <v/>
      </c>
      <c r="Y180" s="12" t="str">
        <f aca="false">IF(H180="","",IF(H180&lt;الإعدادات!$B$9,"بيانات غير كافية — انتظر",IF(N180=0,"إيقاف أو إعادة بناء (إنفاق بلا مبيعات)",IF(H180/N180&gt;الإعدادات!$B$8*1.5,"خفض الميزانية + اختبار إبداعات جديدة",IF(O180/H180&gt;=الإعدادات!$B$6*1.2,"توسيع الميزانية تدريجياً",IF(O180/H180&gt;=الإعدادات!$B$7,IF(AND(X180&lt;&gt;"",X180&lt;0),"رابحة — حدّث الإبداعات لرفع CTR","رابحة — حافظ وحسّن"),"تحت التعادل — حسّن الصفحة/العرض أو أوقف"))))))</f>
        <v/>
      </c>
    </row>
    <row r="181" customFormat="false" ht="15" hidden="false" customHeight="false" outlineLevel="0" collapsed="false">
      <c r="A181" s="14"/>
      <c r="B181" s="14"/>
      <c r="C181" s="14"/>
      <c r="D181" s="14"/>
      <c r="E181" s="14"/>
      <c r="F181" s="14"/>
      <c r="G181" s="14"/>
      <c r="H181" s="19"/>
      <c r="I181" s="22"/>
      <c r="J181" s="22"/>
      <c r="K181" s="22"/>
      <c r="L181" s="22"/>
      <c r="M181" s="22"/>
      <c r="N181" s="22"/>
      <c r="O181" s="19"/>
      <c r="P181" s="23" t="str">
        <f aca="false">IF(I181&gt;0,K181/I181,"")</f>
        <v/>
      </c>
      <c r="Q181" s="20" t="str">
        <f aca="false">IF(K181&gt;0,H181/K181,"")</f>
        <v/>
      </c>
      <c r="R181" s="20" t="str">
        <f aca="false">IF(I181&gt;0,H181/I181*1000,"")</f>
        <v/>
      </c>
      <c r="S181" s="23" t="str">
        <f aca="false">IF(K181&gt;0,N181/K181,"")</f>
        <v/>
      </c>
      <c r="T181" s="20" t="str">
        <f aca="false">IF(N181&gt;0,H181/N181,"")</f>
        <v/>
      </c>
      <c r="U181" s="18" t="str">
        <f aca="false">IF(H181&gt;0,O181/H181,"")</f>
        <v/>
      </c>
      <c r="V181" s="20" t="str">
        <f aca="false">IF(N181&gt;0,O181/N181,"")</f>
        <v/>
      </c>
      <c r="W181" s="20" t="str">
        <f aca="false">IF(H181&gt;0,O181*الإعدادات!$B$5-H181,"")</f>
        <v/>
      </c>
      <c r="X181" s="23" t="str">
        <f aca="false">IF(AND(I181&gt;0,A181&lt;&gt;""),P181-IFERROR(INDEX(الإعدادات!$B$15:$B$18,MATCH(A181,الإعدادات!$A$15:$A$18,0)),0),"")</f>
        <v/>
      </c>
      <c r="Y181" s="12" t="str">
        <f aca="false">IF(H181="","",IF(H181&lt;الإعدادات!$B$9,"بيانات غير كافية — انتظر",IF(N181=0,"إيقاف أو إعادة بناء (إنفاق بلا مبيعات)",IF(H181/N181&gt;الإعدادات!$B$8*1.5,"خفض الميزانية + اختبار إبداعات جديدة",IF(O181/H181&gt;=الإعدادات!$B$6*1.2,"توسيع الميزانية تدريجياً",IF(O181/H181&gt;=الإعدادات!$B$7,IF(AND(X181&lt;&gt;"",X181&lt;0),"رابحة — حدّث الإبداعات لرفع CTR","رابحة — حافظ وحسّن"),"تحت التعادل — حسّن الصفحة/العرض أو أوقف"))))))</f>
        <v/>
      </c>
    </row>
    <row r="182" customFormat="false" ht="15" hidden="false" customHeight="false" outlineLevel="0" collapsed="false">
      <c r="A182" s="14"/>
      <c r="B182" s="14"/>
      <c r="C182" s="14"/>
      <c r="D182" s="14"/>
      <c r="E182" s="14"/>
      <c r="F182" s="14"/>
      <c r="G182" s="14"/>
      <c r="H182" s="19"/>
      <c r="I182" s="22"/>
      <c r="J182" s="22"/>
      <c r="K182" s="22"/>
      <c r="L182" s="22"/>
      <c r="M182" s="22"/>
      <c r="N182" s="22"/>
      <c r="O182" s="19"/>
      <c r="P182" s="23" t="str">
        <f aca="false">IF(I182&gt;0,K182/I182,"")</f>
        <v/>
      </c>
      <c r="Q182" s="20" t="str">
        <f aca="false">IF(K182&gt;0,H182/K182,"")</f>
        <v/>
      </c>
      <c r="R182" s="20" t="str">
        <f aca="false">IF(I182&gt;0,H182/I182*1000,"")</f>
        <v/>
      </c>
      <c r="S182" s="23" t="str">
        <f aca="false">IF(K182&gt;0,N182/K182,"")</f>
        <v/>
      </c>
      <c r="T182" s="20" t="str">
        <f aca="false">IF(N182&gt;0,H182/N182,"")</f>
        <v/>
      </c>
      <c r="U182" s="18" t="str">
        <f aca="false">IF(H182&gt;0,O182/H182,"")</f>
        <v/>
      </c>
      <c r="V182" s="20" t="str">
        <f aca="false">IF(N182&gt;0,O182/N182,"")</f>
        <v/>
      </c>
      <c r="W182" s="20" t="str">
        <f aca="false">IF(H182&gt;0,O182*الإعدادات!$B$5-H182,"")</f>
        <v/>
      </c>
      <c r="X182" s="23" t="str">
        <f aca="false">IF(AND(I182&gt;0,A182&lt;&gt;""),P182-IFERROR(INDEX(الإعدادات!$B$15:$B$18,MATCH(A182,الإعدادات!$A$15:$A$18,0)),0),"")</f>
        <v/>
      </c>
      <c r="Y182" s="12" t="str">
        <f aca="false">IF(H182="","",IF(H182&lt;الإعدادات!$B$9,"بيانات غير كافية — انتظر",IF(N182=0,"إيقاف أو إعادة بناء (إنفاق بلا مبيعات)",IF(H182/N182&gt;الإعدادات!$B$8*1.5,"خفض الميزانية + اختبار إبداعات جديدة",IF(O182/H182&gt;=الإعدادات!$B$6*1.2,"توسيع الميزانية تدريجياً",IF(O182/H182&gt;=الإعدادات!$B$7,IF(AND(X182&lt;&gt;"",X182&lt;0),"رابحة — حدّث الإبداعات لرفع CTR","رابحة — حافظ وحسّن"),"تحت التعادل — حسّن الصفحة/العرض أو أوقف"))))))</f>
        <v/>
      </c>
    </row>
    <row r="183" customFormat="false" ht="15" hidden="false" customHeight="false" outlineLevel="0" collapsed="false">
      <c r="A183" s="14"/>
      <c r="B183" s="14"/>
      <c r="C183" s="14"/>
      <c r="D183" s="14"/>
      <c r="E183" s="14"/>
      <c r="F183" s="14"/>
      <c r="G183" s="14"/>
      <c r="H183" s="19"/>
      <c r="I183" s="22"/>
      <c r="J183" s="22"/>
      <c r="K183" s="22"/>
      <c r="L183" s="22"/>
      <c r="M183" s="22"/>
      <c r="N183" s="22"/>
      <c r="O183" s="19"/>
      <c r="P183" s="23" t="str">
        <f aca="false">IF(I183&gt;0,K183/I183,"")</f>
        <v/>
      </c>
      <c r="Q183" s="20" t="str">
        <f aca="false">IF(K183&gt;0,H183/K183,"")</f>
        <v/>
      </c>
      <c r="R183" s="20" t="str">
        <f aca="false">IF(I183&gt;0,H183/I183*1000,"")</f>
        <v/>
      </c>
      <c r="S183" s="23" t="str">
        <f aca="false">IF(K183&gt;0,N183/K183,"")</f>
        <v/>
      </c>
      <c r="T183" s="20" t="str">
        <f aca="false">IF(N183&gt;0,H183/N183,"")</f>
        <v/>
      </c>
      <c r="U183" s="18" t="str">
        <f aca="false">IF(H183&gt;0,O183/H183,"")</f>
        <v/>
      </c>
      <c r="V183" s="20" t="str">
        <f aca="false">IF(N183&gt;0,O183/N183,"")</f>
        <v/>
      </c>
      <c r="W183" s="20" t="str">
        <f aca="false">IF(H183&gt;0,O183*الإعدادات!$B$5-H183,"")</f>
        <v/>
      </c>
      <c r="X183" s="23" t="str">
        <f aca="false">IF(AND(I183&gt;0,A183&lt;&gt;""),P183-IFERROR(INDEX(الإعدادات!$B$15:$B$18,MATCH(A183,الإعدادات!$A$15:$A$18,0)),0),"")</f>
        <v/>
      </c>
      <c r="Y183" s="12" t="str">
        <f aca="false">IF(H183="","",IF(H183&lt;الإعدادات!$B$9,"بيانات غير كافية — انتظر",IF(N183=0,"إيقاف أو إعادة بناء (إنفاق بلا مبيعات)",IF(H183/N183&gt;الإعدادات!$B$8*1.5,"خفض الميزانية + اختبار إبداعات جديدة",IF(O183/H183&gt;=الإعدادات!$B$6*1.2,"توسيع الميزانية تدريجياً",IF(O183/H183&gt;=الإعدادات!$B$7,IF(AND(X183&lt;&gt;"",X183&lt;0),"رابحة — حدّث الإبداعات لرفع CTR","رابحة — حافظ وحسّن"),"تحت التعادل — حسّن الصفحة/العرض أو أوقف"))))))</f>
        <v/>
      </c>
    </row>
    <row r="184" customFormat="false" ht="15" hidden="false" customHeight="false" outlineLevel="0" collapsed="false">
      <c r="A184" s="14"/>
      <c r="B184" s="14"/>
      <c r="C184" s="14"/>
      <c r="D184" s="14"/>
      <c r="E184" s="14"/>
      <c r="F184" s="14"/>
      <c r="G184" s="14"/>
      <c r="H184" s="19"/>
      <c r="I184" s="22"/>
      <c r="J184" s="22"/>
      <c r="K184" s="22"/>
      <c r="L184" s="22"/>
      <c r="M184" s="22"/>
      <c r="N184" s="22"/>
      <c r="O184" s="19"/>
      <c r="P184" s="23" t="str">
        <f aca="false">IF(I184&gt;0,K184/I184,"")</f>
        <v/>
      </c>
      <c r="Q184" s="20" t="str">
        <f aca="false">IF(K184&gt;0,H184/K184,"")</f>
        <v/>
      </c>
      <c r="R184" s="20" t="str">
        <f aca="false">IF(I184&gt;0,H184/I184*1000,"")</f>
        <v/>
      </c>
      <c r="S184" s="23" t="str">
        <f aca="false">IF(K184&gt;0,N184/K184,"")</f>
        <v/>
      </c>
      <c r="T184" s="20" t="str">
        <f aca="false">IF(N184&gt;0,H184/N184,"")</f>
        <v/>
      </c>
      <c r="U184" s="18" t="str">
        <f aca="false">IF(H184&gt;0,O184/H184,"")</f>
        <v/>
      </c>
      <c r="V184" s="20" t="str">
        <f aca="false">IF(N184&gt;0,O184/N184,"")</f>
        <v/>
      </c>
      <c r="W184" s="20" t="str">
        <f aca="false">IF(H184&gt;0,O184*الإعدادات!$B$5-H184,"")</f>
        <v/>
      </c>
      <c r="X184" s="23" t="str">
        <f aca="false">IF(AND(I184&gt;0,A184&lt;&gt;""),P184-IFERROR(INDEX(الإعدادات!$B$15:$B$18,MATCH(A184,الإعدادات!$A$15:$A$18,0)),0),"")</f>
        <v/>
      </c>
      <c r="Y184" s="12" t="str">
        <f aca="false">IF(H184="","",IF(H184&lt;الإعدادات!$B$9,"بيانات غير كافية — انتظر",IF(N184=0,"إيقاف أو إعادة بناء (إنفاق بلا مبيعات)",IF(H184/N184&gt;الإعدادات!$B$8*1.5,"خفض الميزانية + اختبار إبداعات جديدة",IF(O184/H184&gt;=الإعدادات!$B$6*1.2,"توسيع الميزانية تدريجياً",IF(O184/H184&gt;=الإعدادات!$B$7,IF(AND(X184&lt;&gt;"",X184&lt;0),"رابحة — حدّث الإبداعات لرفع CTR","رابحة — حافظ وحسّن"),"تحت التعادل — حسّن الصفحة/العرض أو أوقف"))))))</f>
        <v/>
      </c>
    </row>
    <row r="185" customFormat="false" ht="15" hidden="false" customHeight="false" outlineLevel="0" collapsed="false">
      <c r="A185" s="14"/>
      <c r="B185" s="14"/>
      <c r="C185" s="14"/>
      <c r="D185" s="14"/>
      <c r="E185" s="14"/>
      <c r="F185" s="14"/>
      <c r="G185" s="14"/>
      <c r="H185" s="19"/>
      <c r="I185" s="22"/>
      <c r="J185" s="22"/>
      <c r="K185" s="22"/>
      <c r="L185" s="22"/>
      <c r="M185" s="22"/>
      <c r="N185" s="22"/>
      <c r="O185" s="19"/>
      <c r="P185" s="23" t="str">
        <f aca="false">IF(I185&gt;0,K185/I185,"")</f>
        <v/>
      </c>
      <c r="Q185" s="20" t="str">
        <f aca="false">IF(K185&gt;0,H185/K185,"")</f>
        <v/>
      </c>
      <c r="R185" s="20" t="str">
        <f aca="false">IF(I185&gt;0,H185/I185*1000,"")</f>
        <v/>
      </c>
      <c r="S185" s="23" t="str">
        <f aca="false">IF(K185&gt;0,N185/K185,"")</f>
        <v/>
      </c>
      <c r="T185" s="20" t="str">
        <f aca="false">IF(N185&gt;0,H185/N185,"")</f>
        <v/>
      </c>
      <c r="U185" s="18" t="str">
        <f aca="false">IF(H185&gt;0,O185/H185,"")</f>
        <v/>
      </c>
      <c r="V185" s="20" t="str">
        <f aca="false">IF(N185&gt;0,O185/N185,"")</f>
        <v/>
      </c>
      <c r="W185" s="20" t="str">
        <f aca="false">IF(H185&gt;0,O185*الإعدادات!$B$5-H185,"")</f>
        <v/>
      </c>
      <c r="X185" s="23" t="str">
        <f aca="false">IF(AND(I185&gt;0,A185&lt;&gt;""),P185-IFERROR(INDEX(الإعدادات!$B$15:$B$18,MATCH(A185,الإعدادات!$A$15:$A$18,0)),0),"")</f>
        <v/>
      </c>
      <c r="Y185" s="12" t="str">
        <f aca="false">IF(H185="","",IF(H185&lt;الإعدادات!$B$9,"بيانات غير كافية — انتظر",IF(N185=0,"إيقاف أو إعادة بناء (إنفاق بلا مبيعات)",IF(H185/N185&gt;الإعدادات!$B$8*1.5,"خفض الميزانية + اختبار إبداعات جديدة",IF(O185/H185&gt;=الإعدادات!$B$6*1.2,"توسيع الميزانية تدريجياً",IF(O185/H185&gt;=الإعدادات!$B$7,IF(AND(X185&lt;&gt;"",X185&lt;0),"رابحة — حدّث الإبداعات لرفع CTR","رابحة — حافظ وحسّن"),"تحت التعادل — حسّن الصفحة/العرض أو أوقف"))))))</f>
        <v/>
      </c>
    </row>
    <row r="186" customFormat="false" ht="15" hidden="false" customHeight="false" outlineLevel="0" collapsed="false">
      <c r="A186" s="14"/>
      <c r="B186" s="14"/>
      <c r="C186" s="14"/>
      <c r="D186" s="14"/>
      <c r="E186" s="14"/>
      <c r="F186" s="14"/>
      <c r="G186" s="14"/>
      <c r="H186" s="19"/>
      <c r="I186" s="22"/>
      <c r="J186" s="22"/>
      <c r="K186" s="22"/>
      <c r="L186" s="22"/>
      <c r="M186" s="22"/>
      <c r="N186" s="22"/>
      <c r="O186" s="19"/>
      <c r="P186" s="23" t="str">
        <f aca="false">IF(I186&gt;0,K186/I186,"")</f>
        <v/>
      </c>
      <c r="Q186" s="20" t="str">
        <f aca="false">IF(K186&gt;0,H186/K186,"")</f>
        <v/>
      </c>
      <c r="R186" s="20" t="str">
        <f aca="false">IF(I186&gt;0,H186/I186*1000,"")</f>
        <v/>
      </c>
      <c r="S186" s="23" t="str">
        <f aca="false">IF(K186&gt;0,N186/K186,"")</f>
        <v/>
      </c>
      <c r="T186" s="20" t="str">
        <f aca="false">IF(N186&gt;0,H186/N186,"")</f>
        <v/>
      </c>
      <c r="U186" s="18" t="str">
        <f aca="false">IF(H186&gt;0,O186/H186,"")</f>
        <v/>
      </c>
      <c r="V186" s="20" t="str">
        <f aca="false">IF(N186&gt;0,O186/N186,"")</f>
        <v/>
      </c>
      <c r="W186" s="20" t="str">
        <f aca="false">IF(H186&gt;0,O186*الإعدادات!$B$5-H186,"")</f>
        <v/>
      </c>
      <c r="X186" s="23" t="str">
        <f aca="false">IF(AND(I186&gt;0,A186&lt;&gt;""),P186-IFERROR(INDEX(الإعدادات!$B$15:$B$18,MATCH(A186,الإعدادات!$A$15:$A$18,0)),0),"")</f>
        <v/>
      </c>
      <c r="Y186" s="12" t="str">
        <f aca="false">IF(H186="","",IF(H186&lt;الإعدادات!$B$9,"بيانات غير كافية — انتظر",IF(N186=0,"إيقاف أو إعادة بناء (إنفاق بلا مبيعات)",IF(H186/N186&gt;الإعدادات!$B$8*1.5,"خفض الميزانية + اختبار إبداعات جديدة",IF(O186/H186&gt;=الإعدادات!$B$6*1.2,"توسيع الميزانية تدريجياً",IF(O186/H186&gt;=الإعدادات!$B$7,IF(AND(X186&lt;&gt;"",X186&lt;0),"رابحة — حدّث الإبداعات لرفع CTR","رابحة — حافظ وحسّن"),"تحت التعادل — حسّن الصفحة/العرض أو أوقف"))))))</f>
        <v/>
      </c>
    </row>
    <row r="187" customFormat="false" ht="15" hidden="false" customHeight="false" outlineLevel="0" collapsed="false">
      <c r="A187" s="14"/>
      <c r="B187" s="14"/>
      <c r="C187" s="14"/>
      <c r="D187" s="14"/>
      <c r="E187" s="14"/>
      <c r="F187" s="14"/>
      <c r="G187" s="14"/>
      <c r="H187" s="19"/>
      <c r="I187" s="22"/>
      <c r="J187" s="22"/>
      <c r="K187" s="22"/>
      <c r="L187" s="22"/>
      <c r="M187" s="22"/>
      <c r="N187" s="22"/>
      <c r="O187" s="19"/>
      <c r="P187" s="23" t="str">
        <f aca="false">IF(I187&gt;0,K187/I187,"")</f>
        <v/>
      </c>
      <c r="Q187" s="20" t="str">
        <f aca="false">IF(K187&gt;0,H187/K187,"")</f>
        <v/>
      </c>
      <c r="R187" s="20" t="str">
        <f aca="false">IF(I187&gt;0,H187/I187*1000,"")</f>
        <v/>
      </c>
      <c r="S187" s="23" t="str">
        <f aca="false">IF(K187&gt;0,N187/K187,"")</f>
        <v/>
      </c>
      <c r="T187" s="20" t="str">
        <f aca="false">IF(N187&gt;0,H187/N187,"")</f>
        <v/>
      </c>
      <c r="U187" s="18" t="str">
        <f aca="false">IF(H187&gt;0,O187/H187,"")</f>
        <v/>
      </c>
      <c r="V187" s="20" t="str">
        <f aca="false">IF(N187&gt;0,O187/N187,"")</f>
        <v/>
      </c>
      <c r="W187" s="20" t="str">
        <f aca="false">IF(H187&gt;0,O187*الإعدادات!$B$5-H187,"")</f>
        <v/>
      </c>
      <c r="X187" s="23" t="str">
        <f aca="false">IF(AND(I187&gt;0,A187&lt;&gt;""),P187-IFERROR(INDEX(الإعدادات!$B$15:$B$18,MATCH(A187,الإعدادات!$A$15:$A$18,0)),0),"")</f>
        <v/>
      </c>
      <c r="Y187" s="12" t="str">
        <f aca="false">IF(H187="","",IF(H187&lt;الإعدادات!$B$9,"بيانات غير كافية — انتظر",IF(N187=0,"إيقاف أو إعادة بناء (إنفاق بلا مبيعات)",IF(H187/N187&gt;الإعدادات!$B$8*1.5,"خفض الميزانية + اختبار إبداعات جديدة",IF(O187/H187&gt;=الإعدادات!$B$6*1.2,"توسيع الميزانية تدريجياً",IF(O187/H187&gt;=الإعدادات!$B$7,IF(AND(X187&lt;&gt;"",X187&lt;0),"رابحة — حدّث الإبداعات لرفع CTR","رابحة — حافظ وحسّن"),"تحت التعادل — حسّن الصفحة/العرض أو أوقف"))))))</f>
        <v/>
      </c>
    </row>
    <row r="188" customFormat="false" ht="15" hidden="false" customHeight="false" outlineLevel="0" collapsed="false">
      <c r="A188" s="14"/>
      <c r="B188" s="14"/>
      <c r="C188" s="14"/>
      <c r="D188" s="14"/>
      <c r="E188" s="14"/>
      <c r="F188" s="14"/>
      <c r="G188" s="14"/>
      <c r="H188" s="19"/>
      <c r="I188" s="22"/>
      <c r="J188" s="22"/>
      <c r="K188" s="22"/>
      <c r="L188" s="22"/>
      <c r="M188" s="22"/>
      <c r="N188" s="22"/>
      <c r="O188" s="19"/>
      <c r="P188" s="23" t="str">
        <f aca="false">IF(I188&gt;0,K188/I188,"")</f>
        <v/>
      </c>
      <c r="Q188" s="20" t="str">
        <f aca="false">IF(K188&gt;0,H188/K188,"")</f>
        <v/>
      </c>
      <c r="R188" s="20" t="str">
        <f aca="false">IF(I188&gt;0,H188/I188*1000,"")</f>
        <v/>
      </c>
      <c r="S188" s="23" t="str">
        <f aca="false">IF(K188&gt;0,N188/K188,"")</f>
        <v/>
      </c>
      <c r="T188" s="20" t="str">
        <f aca="false">IF(N188&gt;0,H188/N188,"")</f>
        <v/>
      </c>
      <c r="U188" s="18" t="str">
        <f aca="false">IF(H188&gt;0,O188/H188,"")</f>
        <v/>
      </c>
      <c r="V188" s="20" t="str">
        <f aca="false">IF(N188&gt;0,O188/N188,"")</f>
        <v/>
      </c>
      <c r="W188" s="20" t="str">
        <f aca="false">IF(H188&gt;0,O188*الإعدادات!$B$5-H188,"")</f>
        <v/>
      </c>
      <c r="X188" s="23" t="str">
        <f aca="false">IF(AND(I188&gt;0,A188&lt;&gt;""),P188-IFERROR(INDEX(الإعدادات!$B$15:$B$18,MATCH(A188,الإعدادات!$A$15:$A$18,0)),0),"")</f>
        <v/>
      </c>
      <c r="Y188" s="12" t="str">
        <f aca="false">IF(H188="","",IF(H188&lt;الإعدادات!$B$9,"بيانات غير كافية — انتظر",IF(N188=0,"إيقاف أو إعادة بناء (إنفاق بلا مبيعات)",IF(H188/N188&gt;الإعدادات!$B$8*1.5,"خفض الميزانية + اختبار إبداعات جديدة",IF(O188/H188&gt;=الإعدادات!$B$6*1.2,"توسيع الميزانية تدريجياً",IF(O188/H188&gt;=الإعدادات!$B$7,IF(AND(X188&lt;&gt;"",X188&lt;0),"رابحة — حدّث الإبداعات لرفع CTR","رابحة — حافظ وحسّن"),"تحت التعادل — حسّن الصفحة/العرض أو أوقف"))))))</f>
        <v/>
      </c>
    </row>
    <row r="189" customFormat="false" ht="15" hidden="false" customHeight="false" outlineLevel="0" collapsed="false">
      <c r="A189" s="14"/>
      <c r="B189" s="14"/>
      <c r="C189" s="14"/>
      <c r="D189" s="14"/>
      <c r="E189" s="14"/>
      <c r="F189" s="14"/>
      <c r="G189" s="14"/>
      <c r="H189" s="19"/>
      <c r="I189" s="22"/>
      <c r="J189" s="22"/>
      <c r="K189" s="22"/>
      <c r="L189" s="22"/>
      <c r="M189" s="22"/>
      <c r="N189" s="22"/>
      <c r="O189" s="19"/>
      <c r="P189" s="23" t="str">
        <f aca="false">IF(I189&gt;0,K189/I189,"")</f>
        <v/>
      </c>
      <c r="Q189" s="20" t="str">
        <f aca="false">IF(K189&gt;0,H189/K189,"")</f>
        <v/>
      </c>
      <c r="R189" s="20" t="str">
        <f aca="false">IF(I189&gt;0,H189/I189*1000,"")</f>
        <v/>
      </c>
      <c r="S189" s="23" t="str">
        <f aca="false">IF(K189&gt;0,N189/K189,"")</f>
        <v/>
      </c>
      <c r="T189" s="20" t="str">
        <f aca="false">IF(N189&gt;0,H189/N189,"")</f>
        <v/>
      </c>
      <c r="U189" s="18" t="str">
        <f aca="false">IF(H189&gt;0,O189/H189,"")</f>
        <v/>
      </c>
      <c r="V189" s="20" t="str">
        <f aca="false">IF(N189&gt;0,O189/N189,"")</f>
        <v/>
      </c>
      <c r="W189" s="20" t="str">
        <f aca="false">IF(H189&gt;0,O189*الإعدادات!$B$5-H189,"")</f>
        <v/>
      </c>
      <c r="X189" s="23" t="str">
        <f aca="false">IF(AND(I189&gt;0,A189&lt;&gt;""),P189-IFERROR(INDEX(الإعدادات!$B$15:$B$18,MATCH(A189,الإعدادات!$A$15:$A$18,0)),0),"")</f>
        <v/>
      </c>
      <c r="Y189" s="12" t="str">
        <f aca="false">IF(H189="","",IF(H189&lt;الإعدادات!$B$9,"بيانات غير كافية — انتظر",IF(N189=0,"إيقاف أو إعادة بناء (إنفاق بلا مبيعات)",IF(H189/N189&gt;الإعدادات!$B$8*1.5,"خفض الميزانية + اختبار إبداعات جديدة",IF(O189/H189&gt;=الإعدادات!$B$6*1.2,"توسيع الميزانية تدريجياً",IF(O189/H189&gt;=الإعدادات!$B$7,IF(AND(X189&lt;&gt;"",X189&lt;0),"رابحة — حدّث الإبداعات لرفع CTR","رابحة — حافظ وحسّن"),"تحت التعادل — حسّن الصفحة/العرض أو أوقف"))))))</f>
        <v/>
      </c>
    </row>
    <row r="190" customFormat="false" ht="15" hidden="false" customHeight="false" outlineLevel="0" collapsed="false">
      <c r="A190" s="14"/>
      <c r="B190" s="14"/>
      <c r="C190" s="14"/>
      <c r="D190" s="14"/>
      <c r="E190" s="14"/>
      <c r="F190" s="14"/>
      <c r="G190" s="14"/>
      <c r="H190" s="19"/>
      <c r="I190" s="22"/>
      <c r="J190" s="22"/>
      <c r="K190" s="22"/>
      <c r="L190" s="22"/>
      <c r="M190" s="22"/>
      <c r="N190" s="22"/>
      <c r="O190" s="19"/>
      <c r="P190" s="23" t="str">
        <f aca="false">IF(I190&gt;0,K190/I190,"")</f>
        <v/>
      </c>
      <c r="Q190" s="20" t="str">
        <f aca="false">IF(K190&gt;0,H190/K190,"")</f>
        <v/>
      </c>
      <c r="R190" s="20" t="str">
        <f aca="false">IF(I190&gt;0,H190/I190*1000,"")</f>
        <v/>
      </c>
      <c r="S190" s="23" t="str">
        <f aca="false">IF(K190&gt;0,N190/K190,"")</f>
        <v/>
      </c>
      <c r="T190" s="20" t="str">
        <f aca="false">IF(N190&gt;0,H190/N190,"")</f>
        <v/>
      </c>
      <c r="U190" s="18" t="str">
        <f aca="false">IF(H190&gt;0,O190/H190,"")</f>
        <v/>
      </c>
      <c r="V190" s="20" t="str">
        <f aca="false">IF(N190&gt;0,O190/N190,"")</f>
        <v/>
      </c>
      <c r="W190" s="20" t="str">
        <f aca="false">IF(H190&gt;0,O190*الإعدادات!$B$5-H190,"")</f>
        <v/>
      </c>
      <c r="X190" s="23" t="str">
        <f aca="false">IF(AND(I190&gt;0,A190&lt;&gt;""),P190-IFERROR(INDEX(الإعدادات!$B$15:$B$18,MATCH(A190,الإعدادات!$A$15:$A$18,0)),0),"")</f>
        <v/>
      </c>
      <c r="Y190" s="12" t="str">
        <f aca="false">IF(H190="","",IF(H190&lt;الإعدادات!$B$9,"بيانات غير كافية — انتظر",IF(N190=0,"إيقاف أو إعادة بناء (إنفاق بلا مبيعات)",IF(H190/N190&gt;الإعدادات!$B$8*1.5,"خفض الميزانية + اختبار إبداعات جديدة",IF(O190/H190&gt;=الإعدادات!$B$6*1.2,"توسيع الميزانية تدريجياً",IF(O190/H190&gt;=الإعدادات!$B$7,IF(AND(X190&lt;&gt;"",X190&lt;0),"رابحة — حدّث الإبداعات لرفع CTR","رابحة — حافظ وحسّن"),"تحت التعادل — حسّن الصفحة/العرض أو أوقف"))))))</f>
        <v/>
      </c>
    </row>
    <row r="191" customFormat="false" ht="15" hidden="false" customHeight="false" outlineLevel="0" collapsed="false">
      <c r="A191" s="14"/>
      <c r="B191" s="14"/>
      <c r="C191" s="14"/>
      <c r="D191" s="14"/>
      <c r="E191" s="14"/>
      <c r="F191" s="14"/>
      <c r="G191" s="14"/>
      <c r="H191" s="19"/>
      <c r="I191" s="22"/>
      <c r="J191" s="22"/>
      <c r="K191" s="22"/>
      <c r="L191" s="22"/>
      <c r="M191" s="22"/>
      <c r="N191" s="22"/>
      <c r="O191" s="19"/>
      <c r="P191" s="23" t="str">
        <f aca="false">IF(I191&gt;0,K191/I191,"")</f>
        <v/>
      </c>
      <c r="Q191" s="20" t="str">
        <f aca="false">IF(K191&gt;0,H191/K191,"")</f>
        <v/>
      </c>
      <c r="R191" s="20" t="str">
        <f aca="false">IF(I191&gt;0,H191/I191*1000,"")</f>
        <v/>
      </c>
      <c r="S191" s="23" t="str">
        <f aca="false">IF(K191&gt;0,N191/K191,"")</f>
        <v/>
      </c>
      <c r="T191" s="20" t="str">
        <f aca="false">IF(N191&gt;0,H191/N191,"")</f>
        <v/>
      </c>
      <c r="U191" s="18" t="str">
        <f aca="false">IF(H191&gt;0,O191/H191,"")</f>
        <v/>
      </c>
      <c r="V191" s="20" t="str">
        <f aca="false">IF(N191&gt;0,O191/N191,"")</f>
        <v/>
      </c>
      <c r="W191" s="20" t="str">
        <f aca="false">IF(H191&gt;0,O191*الإعدادات!$B$5-H191,"")</f>
        <v/>
      </c>
      <c r="X191" s="23" t="str">
        <f aca="false">IF(AND(I191&gt;0,A191&lt;&gt;""),P191-IFERROR(INDEX(الإعدادات!$B$15:$B$18,MATCH(A191,الإعدادات!$A$15:$A$18,0)),0),"")</f>
        <v/>
      </c>
      <c r="Y191" s="12" t="str">
        <f aca="false">IF(H191="","",IF(H191&lt;الإعدادات!$B$9,"بيانات غير كافية — انتظر",IF(N191=0,"إيقاف أو إعادة بناء (إنفاق بلا مبيعات)",IF(H191/N191&gt;الإعدادات!$B$8*1.5,"خفض الميزانية + اختبار إبداعات جديدة",IF(O191/H191&gt;=الإعدادات!$B$6*1.2,"توسيع الميزانية تدريجياً",IF(O191/H191&gt;=الإعدادات!$B$7,IF(AND(X191&lt;&gt;"",X191&lt;0),"رابحة — حدّث الإبداعات لرفع CTR","رابحة — حافظ وحسّن"),"تحت التعادل — حسّن الصفحة/العرض أو أوقف"))))))</f>
        <v/>
      </c>
    </row>
    <row r="192" customFormat="false" ht="15" hidden="false" customHeight="false" outlineLevel="0" collapsed="false">
      <c r="A192" s="14"/>
      <c r="B192" s="14"/>
      <c r="C192" s="14"/>
      <c r="D192" s="14"/>
      <c r="E192" s="14"/>
      <c r="F192" s="14"/>
      <c r="G192" s="14"/>
      <c r="H192" s="19"/>
      <c r="I192" s="22"/>
      <c r="J192" s="22"/>
      <c r="K192" s="22"/>
      <c r="L192" s="22"/>
      <c r="M192" s="22"/>
      <c r="N192" s="22"/>
      <c r="O192" s="19"/>
      <c r="P192" s="23" t="str">
        <f aca="false">IF(I192&gt;0,K192/I192,"")</f>
        <v/>
      </c>
      <c r="Q192" s="20" t="str">
        <f aca="false">IF(K192&gt;0,H192/K192,"")</f>
        <v/>
      </c>
      <c r="R192" s="20" t="str">
        <f aca="false">IF(I192&gt;0,H192/I192*1000,"")</f>
        <v/>
      </c>
      <c r="S192" s="23" t="str">
        <f aca="false">IF(K192&gt;0,N192/K192,"")</f>
        <v/>
      </c>
      <c r="T192" s="20" t="str">
        <f aca="false">IF(N192&gt;0,H192/N192,"")</f>
        <v/>
      </c>
      <c r="U192" s="18" t="str">
        <f aca="false">IF(H192&gt;0,O192/H192,"")</f>
        <v/>
      </c>
      <c r="V192" s="20" t="str">
        <f aca="false">IF(N192&gt;0,O192/N192,"")</f>
        <v/>
      </c>
      <c r="W192" s="20" t="str">
        <f aca="false">IF(H192&gt;0,O192*الإعدادات!$B$5-H192,"")</f>
        <v/>
      </c>
      <c r="X192" s="23" t="str">
        <f aca="false">IF(AND(I192&gt;0,A192&lt;&gt;""),P192-IFERROR(INDEX(الإعدادات!$B$15:$B$18,MATCH(A192,الإعدادات!$A$15:$A$18,0)),0),"")</f>
        <v/>
      </c>
      <c r="Y192" s="12" t="str">
        <f aca="false">IF(H192="","",IF(H192&lt;الإعدادات!$B$9,"بيانات غير كافية — انتظر",IF(N192=0,"إيقاف أو إعادة بناء (إنفاق بلا مبيعات)",IF(H192/N192&gt;الإعدادات!$B$8*1.5,"خفض الميزانية + اختبار إبداعات جديدة",IF(O192/H192&gt;=الإعدادات!$B$6*1.2,"توسيع الميزانية تدريجياً",IF(O192/H192&gt;=الإعدادات!$B$7,IF(AND(X192&lt;&gt;"",X192&lt;0),"رابحة — حدّث الإبداعات لرفع CTR","رابحة — حافظ وحسّن"),"تحت التعادل — حسّن الصفحة/العرض أو أوقف"))))))</f>
        <v/>
      </c>
    </row>
    <row r="193" customFormat="false" ht="15" hidden="false" customHeight="false" outlineLevel="0" collapsed="false">
      <c r="A193" s="14"/>
      <c r="B193" s="14"/>
      <c r="C193" s="14"/>
      <c r="D193" s="14"/>
      <c r="E193" s="14"/>
      <c r="F193" s="14"/>
      <c r="G193" s="14"/>
      <c r="H193" s="19"/>
      <c r="I193" s="22"/>
      <c r="J193" s="22"/>
      <c r="K193" s="22"/>
      <c r="L193" s="22"/>
      <c r="M193" s="22"/>
      <c r="N193" s="22"/>
      <c r="O193" s="19"/>
      <c r="P193" s="23" t="str">
        <f aca="false">IF(I193&gt;0,K193/I193,"")</f>
        <v/>
      </c>
      <c r="Q193" s="20" t="str">
        <f aca="false">IF(K193&gt;0,H193/K193,"")</f>
        <v/>
      </c>
      <c r="R193" s="20" t="str">
        <f aca="false">IF(I193&gt;0,H193/I193*1000,"")</f>
        <v/>
      </c>
      <c r="S193" s="23" t="str">
        <f aca="false">IF(K193&gt;0,N193/K193,"")</f>
        <v/>
      </c>
      <c r="T193" s="20" t="str">
        <f aca="false">IF(N193&gt;0,H193/N193,"")</f>
        <v/>
      </c>
      <c r="U193" s="18" t="str">
        <f aca="false">IF(H193&gt;0,O193/H193,"")</f>
        <v/>
      </c>
      <c r="V193" s="20" t="str">
        <f aca="false">IF(N193&gt;0,O193/N193,"")</f>
        <v/>
      </c>
      <c r="W193" s="20" t="str">
        <f aca="false">IF(H193&gt;0,O193*الإعدادات!$B$5-H193,"")</f>
        <v/>
      </c>
      <c r="X193" s="23" t="str">
        <f aca="false">IF(AND(I193&gt;0,A193&lt;&gt;""),P193-IFERROR(INDEX(الإعدادات!$B$15:$B$18,MATCH(A193,الإعدادات!$A$15:$A$18,0)),0),"")</f>
        <v/>
      </c>
      <c r="Y193" s="12" t="str">
        <f aca="false">IF(H193="","",IF(H193&lt;الإعدادات!$B$9,"بيانات غير كافية — انتظر",IF(N193=0,"إيقاف أو إعادة بناء (إنفاق بلا مبيعات)",IF(H193/N193&gt;الإعدادات!$B$8*1.5,"خفض الميزانية + اختبار إبداعات جديدة",IF(O193/H193&gt;=الإعدادات!$B$6*1.2,"توسيع الميزانية تدريجياً",IF(O193/H193&gt;=الإعدادات!$B$7,IF(AND(X193&lt;&gt;"",X193&lt;0),"رابحة — حدّث الإبداعات لرفع CTR","رابحة — حافظ وحسّن"),"تحت التعادل — حسّن الصفحة/العرض أو أوقف"))))))</f>
        <v/>
      </c>
    </row>
    <row r="194" customFormat="false" ht="15" hidden="false" customHeight="false" outlineLevel="0" collapsed="false">
      <c r="A194" s="14"/>
      <c r="B194" s="14"/>
      <c r="C194" s="14"/>
      <c r="D194" s="14"/>
      <c r="E194" s="14"/>
      <c r="F194" s="14"/>
      <c r="G194" s="14"/>
      <c r="H194" s="19"/>
      <c r="I194" s="22"/>
      <c r="J194" s="22"/>
      <c r="K194" s="22"/>
      <c r="L194" s="22"/>
      <c r="M194" s="22"/>
      <c r="N194" s="22"/>
      <c r="O194" s="19"/>
      <c r="P194" s="23" t="str">
        <f aca="false">IF(I194&gt;0,K194/I194,"")</f>
        <v/>
      </c>
      <c r="Q194" s="20" t="str">
        <f aca="false">IF(K194&gt;0,H194/K194,"")</f>
        <v/>
      </c>
      <c r="R194" s="20" t="str">
        <f aca="false">IF(I194&gt;0,H194/I194*1000,"")</f>
        <v/>
      </c>
      <c r="S194" s="23" t="str">
        <f aca="false">IF(K194&gt;0,N194/K194,"")</f>
        <v/>
      </c>
      <c r="T194" s="20" t="str">
        <f aca="false">IF(N194&gt;0,H194/N194,"")</f>
        <v/>
      </c>
      <c r="U194" s="18" t="str">
        <f aca="false">IF(H194&gt;0,O194/H194,"")</f>
        <v/>
      </c>
      <c r="V194" s="20" t="str">
        <f aca="false">IF(N194&gt;0,O194/N194,"")</f>
        <v/>
      </c>
      <c r="W194" s="20" t="str">
        <f aca="false">IF(H194&gt;0,O194*الإعدادات!$B$5-H194,"")</f>
        <v/>
      </c>
      <c r="X194" s="23" t="str">
        <f aca="false">IF(AND(I194&gt;0,A194&lt;&gt;""),P194-IFERROR(INDEX(الإعدادات!$B$15:$B$18,MATCH(A194,الإعدادات!$A$15:$A$18,0)),0),"")</f>
        <v/>
      </c>
      <c r="Y194" s="12" t="str">
        <f aca="false">IF(H194="","",IF(H194&lt;الإعدادات!$B$9,"بيانات غير كافية — انتظر",IF(N194=0,"إيقاف أو إعادة بناء (إنفاق بلا مبيعات)",IF(H194/N194&gt;الإعدادات!$B$8*1.5,"خفض الميزانية + اختبار إبداعات جديدة",IF(O194/H194&gt;=الإعدادات!$B$6*1.2,"توسيع الميزانية تدريجياً",IF(O194/H194&gt;=الإعدادات!$B$7,IF(AND(X194&lt;&gt;"",X194&lt;0),"رابحة — حدّث الإبداعات لرفع CTR","رابحة — حافظ وحسّن"),"تحت التعادل — حسّن الصفحة/العرض أو أوقف"))))))</f>
        <v/>
      </c>
    </row>
    <row r="195" customFormat="false" ht="15" hidden="false" customHeight="false" outlineLevel="0" collapsed="false">
      <c r="A195" s="14"/>
      <c r="B195" s="14"/>
      <c r="C195" s="14"/>
      <c r="D195" s="14"/>
      <c r="E195" s="14"/>
      <c r="F195" s="14"/>
      <c r="G195" s="14"/>
      <c r="H195" s="19"/>
      <c r="I195" s="22"/>
      <c r="J195" s="22"/>
      <c r="K195" s="22"/>
      <c r="L195" s="22"/>
      <c r="M195" s="22"/>
      <c r="N195" s="22"/>
      <c r="O195" s="19"/>
      <c r="P195" s="23" t="str">
        <f aca="false">IF(I195&gt;0,K195/I195,"")</f>
        <v/>
      </c>
      <c r="Q195" s="20" t="str">
        <f aca="false">IF(K195&gt;0,H195/K195,"")</f>
        <v/>
      </c>
      <c r="R195" s="20" t="str">
        <f aca="false">IF(I195&gt;0,H195/I195*1000,"")</f>
        <v/>
      </c>
      <c r="S195" s="23" t="str">
        <f aca="false">IF(K195&gt;0,N195/K195,"")</f>
        <v/>
      </c>
      <c r="T195" s="20" t="str">
        <f aca="false">IF(N195&gt;0,H195/N195,"")</f>
        <v/>
      </c>
      <c r="U195" s="18" t="str">
        <f aca="false">IF(H195&gt;0,O195/H195,"")</f>
        <v/>
      </c>
      <c r="V195" s="20" t="str">
        <f aca="false">IF(N195&gt;0,O195/N195,"")</f>
        <v/>
      </c>
      <c r="W195" s="20" t="str">
        <f aca="false">IF(H195&gt;0,O195*الإعدادات!$B$5-H195,"")</f>
        <v/>
      </c>
      <c r="X195" s="23" t="str">
        <f aca="false">IF(AND(I195&gt;0,A195&lt;&gt;""),P195-IFERROR(INDEX(الإعدادات!$B$15:$B$18,MATCH(A195,الإعدادات!$A$15:$A$18,0)),0),"")</f>
        <v/>
      </c>
      <c r="Y195" s="12" t="str">
        <f aca="false">IF(H195="","",IF(H195&lt;الإعدادات!$B$9,"بيانات غير كافية — انتظر",IF(N195=0,"إيقاف أو إعادة بناء (إنفاق بلا مبيعات)",IF(H195/N195&gt;الإعدادات!$B$8*1.5,"خفض الميزانية + اختبار إبداعات جديدة",IF(O195/H195&gt;=الإعدادات!$B$6*1.2,"توسيع الميزانية تدريجياً",IF(O195/H195&gt;=الإعدادات!$B$7,IF(AND(X195&lt;&gt;"",X195&lt;0),"رابحة — حدّث الإبداعات لرفع CTR","رابحة — حافظ وحسّن"),"تحت التعادل — حسّن الصفحة/العرض أو أوقف"))))))</f>
        <v/>
      </c>
    </row>
    <row r="196" customFormat="false" ht="15" hidden="false" customHeight="false" outlineLevel="0" collapsed="false">
      <c r="A196" s="14"/>
      <c r="B196" s="14"/>
      <c r="C196" s="14"/>
      <c r="D196" s="14"/>
      <c r="E196" s="14"/>
      <c r="F196" s="14"/>
      <c r="G196" s="14"/>
      <c r="H196" s="19"/>
      <c r="I196" s="22"/>
      <c r="J196" s="22"/>
      <c r="K196" s="22"/>
      <c r="L196" s="22"/>
      <c r="M196" s="22"/>
      <c r="N196" s="22"/>
      <c r="O196" s="19"/>
      <c r="P196" s="23" t="str">
        <f aca="false">IF(I196&gt;0,K196/I196,"")</f>
        <v/>
      </c>
      <c r="Q196" s="20" t="str">
        <f aca="false">IF(K196&gt;0,H196/K196,"")</f>
        <v/>
      </c>
      <c r="R196" s="20" t="str">
        <f aca="false">IF(I196&gt;0,H196/I196*1000,"")</f>
        <v/>
      </c>
      <c r="S196" s="23" t="str">
        <f aca="false">IF(K196&gt;0,N196/K196,"")</f>
        <v/>
      </c>
      <c r="T196" s="20" t="str">
        <f aca="false">IF(N196&gt;0,H196/N196,"")</f>
        <v/>
      </c>
      <c r="U196" s="18" t="str">
        <f aca="false">IF(H196&gt;0,O196/H196,"")</f>
        <v/>
      </c>
      <c r="V196" s="20" t="str">
        <f aca="false">IF(N196&gt;0,O196/N196,"")</f>
        <v/>
      </c>
      <c r="W196" s="20" t="str">
        <f aca="false">IF(H196&gt;0,O196*الإعدادات!$B$5-H196,"")</f>
        <v/>
      </c>
      <c r="X196" s="23" t="str">
        <f aca="false">IF(AND(I196&gt;0,A196&lt;&gt;""),P196-IFERROR(INDEX(الإعدادات!$B$15:$B$18,MATCH(A196,الإعدادات!$A$15:$A$18,0)),0),"")</f>
        <v/>
      </c>
      <c r="Y196" s="12" t="str">
        <f aca="false">IF(H196="","",IF(H196&lt;الإعدادات!$B$9,"بيانات غير كافية — انتظر",IF(N196=0,"إيقاف أو إعادة بناء (إنفاق بلا مبيعات)",IF(H196/N196&gt;الإعدادات!$B$8*1.5,"خفض الميزانية + اختبار إبداعات جديدة",IF(O196/H196&gt;=الإعدادات!$B$6*1.2,"توسيع الميزانية تدريجياً",IF(O196/H196&gt;=الإعدادات!$B$7,IF(AND(X196&lt;&gt;"",X196&lt;0),"رابحة — حدّث الإبداعات لرفع CTR","رابحة — حافظ وحسّن"),"تحت التعادل — حسّن الصفحة/العرض أو أوقف"))))))</f>
        <v/>
      </c>
    </row>
    <row r="197" customFormat="false" ht="15" hidden="false" customHeight="false" outlineLevel="0" collapsed="false">
      <c r="A197" s="14"/>
      <c r="B197" s="14"/>
      <c r="C197" s="14"/>
      <c r="D197" s="14"/>
      <c r="E197" s="14"/>
      <c r="F197" s="14"/>
      <c r="G197" s="14"/>
      <c r="H197" s="19"/>
      <c r="I197" s="22"/>
      <c r="J197" s="22"/>
      <c r="K197" s="22"/>
      <c r="L197" s="22"/>
      <c r="M197" s="22"/>
      <c r="N197" s="22"/>
      <c r="O197" s="19"/>
      <c r="P197" s="23" t="str">
        <f aca="false">IF(I197&gt;0,K197/I197,"")</f>
        <v/>
      </c>
      <c r="Q197" s="20" t="str">
        <f aca="false">IF(K197&gt;0,H197/K197,"")</f>
        <v/>
      </c>
      <c r="R197" s="20" t="str">
        <f aca="false">IF(I197&gt;0,H197/I197*1000,"")</f>
        <v/>
      </c>
      <c r="S197" s="23" t="str">
        <f aca="false">IF(K197&gt;0,N197/K197,"")</f>
        <v/>
      </c>
      <c r="T197" s="20" t="str">
        <f aca="false">IF(N197&gt;0,H197/N197,"")</f>
        <v/>
      </c>
      <c r="U197" s="18" t="str">
        <f aca="false">IF(H197&gt;0,O197/H197,"")</f>
        <v/>
      </c>
      <c r="V197" s="20" t="str">
        <f aca="false">IF(N197&gt;0,O197/N197,"")</f>
        <v/>
      </c>
      <c r="W197" s="20" t="str">
        <f aca="false">IF(H197&gt;0,O197*الإعدادات!$B$5-H197,"")</f>
        <v/>
      </c>
      <c r="X197" s="23" t="str">
        <f aca="false">IF(AND(I197&gt;0,A197&lt;&gt;""),P197-IFERROR(INDEX(الإعدادات!$B$15:$B$18,MATCH(A197,الإعدادات!$A$15:$A$18,0)),0),"")</f>
        <v/>
      </c>
      <c r="Y197" s="12" t="str">
        <f aca="false">IF(H197="","",IF(H197&lt;الإعدادات!$B$9,"بيانات غير كافية — انتظر",IF(N197=0,"إيقاف أو إعادة بناء (إنفاق بلا مبيعات)",IF(H197/N197&gt;الإعدادات!$B$8*1.5,"خفض الميزانية + اختبار إبداعات جديدة",IF(O197/H197&gt;=الإعدادات!$B$6*1.2,"توسيع الميزانية تدريجياً",IF(O197/H197&gt;=الإعدادات!$B$7,IF(AND(X197&lt;&gt;"",X197&lt;0),"رابحة — حدّث الإبداعات لرفع CTR","رابحة — حافظ وحسّن"),"تحت التعادل — حسّن الصفحة/العرض أو أوقف"))))))</f>
        <v/>
      </c>
    </row>
    <row r="198" customFormat="false" ht="15" hidden="false" customHeight="false" outlineLevel="0" collapsed="false">
      <c r="A198" s="14"/>
      <c r="B198" s="14"/>
      <c r="C198" s="14"/>
      <c r="D198" s="14"/>
      <c r="E198" s="14"/>
      <c r="F198" s="14"/>
      <c r="G198" s="14"/>
      <c r="H198" s="19"/>
      <c r="I198" s="22"/>
      <c r="J198" s="22"/>
      <c r="K198" s="22"/>
      <c r="L198" s="22"/>
      <c r="M198" s="22"/>
      <c r="N198" s="22"/>
      <c r="O198" s="19"/>
      <c r="P198" s="23" t="str">
        <f aca="false">IF(I198&gt;0,K198/I198,"")</f>
        <v/>
      </c>
      <c r="Q198" s="20" t="str">
        <f aca="false">IF(K198&gt;0,H198/K198,"")</f>
        <v/>
      </c>
      <c r="R198" s="20" t="str">
        <f aca="false">IF(I198&gt;0,H198/I198*1000,"")</f>
        <v/>
      </c>
      <c r="S198" s="23" t="str">
        <f aca="false">IF(K198&gt;0,N198/K198,"")</f>
        <v/>
      </c>
      <c r="T198" s="20" t="str">
        <f aca="false">IF(N198&gt;0,H198/N198,"")</f>
        <v/>
      </c>
      <c r="U198" s="18" t="str">
        <f aca="false">IF(H198&gt;0,O198/H198,"")</f>
        <v/>
      </c>
      <c r="V198" s="20" t="str">
        <f aca="false">IF(N198&gt;0,O198/N198,"")</f>
        <v/>
      </c>
      <c r="W198" s="20" t="str">
        <f aca="false">IF(H198&gt;0,O198*الإعدادات!$B$5-H198,"")</f>
        <v/>
      </c>
      <c r="X198" s="23" t="str">
        <f aca="false">IF(AND(I198&gt;0,A198&lt;&gt;""),P198-IFERROR(INDEX(الإعدادات!$B$15:$B$18,MATCH(A198,الإعدادات!$A$15:$A$18,0)),0),"")</f>
        <v/>
      </c>
      <c r="Y198" s="12" t="str">
        <f aca="false">IF(H198="","",IF(H198&lt;الإعدادات!$B$9,"بيانات غير كافية — انتظر",IF(N198=0,"إيقاف أو إعادة بناء (إنفاق بلا مبيعات)",IF(H198/N198&gt;الإعدادات!$B$8*1.5,"خفض الميزانية + اختبار إبداعات جديدة",IF(O198/H198&gt;=الإعدادات!$B$6*1.2,"توسيع الميزانية تدريجياً",IF(O198/H198&gt;=الإعدادات!$B$7,IF(AND(X198&lt;&gt;"",X198&lt;0),"رابحة — حدّث الإبداعات لرفع CTR","رابحة — حافظ وحسّن"),"تحت التعادل — حسّن الصفحة/العرض أو أوقف"))))))</f>
        <v/>
      </c>
    </row>
    <row r="199" customFormat="false" ht="15" hidden="false" customHeight="false" outlineLevel="0" collapsed="false">
      <c r="A199" s="14"/>
      <c r="B199" s="14"/>
      <c r="C199" s="14"/>
      <c r="D199" s="14"/>
      <c r="E199" s="14"/>
      <c r="F199" s="14"/>
      <c r="G199" s="14"/>
      <c r="H199" s="19"/>
      <c r="I199" s="22"/>
      <c r="J199" s="22"/>
      <c r="K199" s="22"/>
      <c r="L199" s="22"/>
      <c r="M199" s="22"/>
      <c r="N199" s="22"/>
      <c r="O199" s="19"/>
      <c r="P199" s="23" t="str">
        <f aca="false">IF(I199&gt;0,K199/I199,"")</f>
        <v/>
      </c>
      <c r="Q199" s="20" t="str">
        <f aca="false">IF(K199&gt;0,H199/K199,"")</f>
        <v/>
      </c>
      <c r="R199" s="20" t="str">
        <f aca="false">IF(I199&gt;0,H199/I199*1000,"")</f>
        <v/>
      </c>
      <c r="S199" s="23" t="str">
        <f aca="false">IF(K199&gt;0,N199/K199,"")</f>
        <v/>
      </c>
      <c r="T199" s="20" t="str">
        <f aca="false">IF(N199&gt;0,H199/N199,"")</f>
        <v/>
      </c>
      <c r="U199" s="18" t="str">
        <f aca="false">IF(H199&gt;0,O199/H199,"")</f>
        <v/>
      </c>
      <c r="V199" s="20" t="str">
        <f aca="false">IF(N199&gt;0,O199/N199,"")</f>
        <v/>
      </c>
      <c r="W199" s="20" t="str">
        <f aca="false">IF(H199&gt;0,O199*الإعدادات!$B$5-H199,"")</f>
        <v/>
      </c>
      <c r="X199" s="23" t="str">
        <f aca="false">IF(AND(I199&gt;0,A199&lt;&gt;""),P199-IFERROR(INDEX(الإعدادات!$B$15:$B$18,MATCH(A199,الإعدادات!$A$15:$A$18,0)),0),"")</f>
        <v/>
      </c>
      <c r="Y199" s="12" t="str">
        <f aca="false">IF(H199="","",IF(H199&lt;الإعدادات!$B$9,"بيانات غير كافية — انتظر",IF(N199=0,"إيقاف أو إعادة بناء (إنفاق بلا مبيعات)",IF(H199/N199&gt;الإعدادات!$B$8*1.5,"خفض الميزانية + اختبار إبداعات جديدة",IF(O199/H199&gt;=الإعدادات!$B$6*1.2,"توسيع الميزانية تدريجياً",IF(O199/H199&gt;=الإعدادات!$B$7,IF(AND(X199&lt;&gt;"",X199&lt;0),"رابحة — حدّث الإبداعات لرفع CTR","رابحة — حافظ وحسّن"),"تحت التعادل — حسّن الصفحة/العرض أو أوقف"))))))</f>
        <v/>
      </c>
    </row>
    <row r="200" customFormat="false" ht="15" hidden="false" customHeight="false" outlineLevel="0" collapsed="false">
      <c r="A200" s="14"/>
      <c r="B200" s="14"/>
      <c r="C200" s="14"/>
      <c r="D200" s="14"/>
      <c r="E200" s="14"/>
      <c r="F200" s="14"/>
      <c r="G200" s="14"/>
      <c r="H200" s="19"/>
      <c r="I200" s="22"/>
      <c r="J200" s="22"/>
      <c r="K200" s="22"/>
      <c r="L200" s="22"/>
      <c r="M200" s="22"/>
      <c r="N200" s="22"/>
      <c r="O200" s="19"/>
      <c r="P200" s="23" t="str">
        <f aca="false">IF(I200&gt;0,K200/I200,"")</f>
        <v/>
      </c>
      <c r="Q200" s="20" t="str">
        <f aca="false">IF(K200&gt;0,H200/K200,"")</f>
        <v/>
      </c>
      <c r="R200" s="20" t="str">
        <f aca="false">IF(I200&gt;0,H200/I200*1000,"")</f>
        <v/>
      </c>
      <c r="S200" s="23" t="str">
        <f aca="false">IF(K200&gt;0,N200/K200,"")</f>
        <v/>
      </c>
      <c r="T200" s="20" t="str">
        <f aca="false">IF(N200&gt;0,H200/N200,"")</f>
        <v/>
      </c>
      <c r="U200" s="18" t="str">
        <f aca="false">IF(H200&gt;0,O200/H200,"")</f>
        <v/>
      </c>
      <c r="V200" s="20" t="str">
        <f aca="false">IF(N200&gt;0,O200/N200,"")</f>
        <v/>
      </c>
      <c r="W200" s="20" t="str">
        <f aca="false">IF(H200&gt;0,O200*الإعدادات!$B$5-H200,"")</f>
        <v/>
      </c>
      <c r="X200" s="23" t="str">
        <f aca="false">IF(AND(I200&gt;0,A200&lt;&gt;""),P200-IFERROR(INDEX(الإعدادات!$B$15:$B$18,MATCH(A200,الإعدادات!$A$15:$A$18,0)),0),"")</f>
        <v/>
      </c>
      <c r="Y200" s="12" t="str">
        <f aca="false">IF(H200="","",IF(H200&lt;الإعدادات!$B$9,"بيانات غير كافية — انتظر",IF(N200=0,"إيقاف أو إعادة بناء (إنفاق بلا مبيعات)",IF(H200/N200&gt;الإعدادات!$B$8*1.5,"خفض الميزانية + اختبار إبداعات جديدة",IF(O200/H200&gt;=الإعدادات!$B$6*1.2,"توسيع الميزانية تدريجياً",IF(O200/H200&gt;=الإعدادات!$B$7,IF(AND(X200&lt;&gt;"",X200&lt;0),"رابحة — حدّث الإبداعات لرفع CTR","رابحة — حافظ وحسّن"),"تحت التعادل — حسّن الصفحة/العرض أو أوقف"))))))</f>
        <v/>
      </c>
    </row>
    <row r="201" customFormat="false" ht="15" hidden="false" customHeight="false" outlineLevel="0" collapsed="false">
      <c r="A201" s="14"/>
      <c r="B201" s="14"/>
      <c r="C201" s="14"/>
      <c r="D201" s="14"/>
      <c r="E201" s="14"/>
      <c r="F201" s="14"/>
      <c r="G201" s="14"/>
      <c r="H201" s="19"/>
      <c r="I201" s="22"/>
      <c r="J201" s="22"/>
      <c r="K201" s="22"/>
      <c r="L201" s="22"/>
      <c r="M201" s="22"/>
      <c r="N201" s="22"/>
      <c r="O201" s="19"/>
      <c r="P201" s="23" t="str">
        <f aca="false">IF(I201&gt;0,K201/I201,"")</f>
        <v/>
      </c>
      <c r="Q201" s="20" t="str">
        <f aca="false">IF(K201&gt;0,H201/K201,"")</f>
        <v/>
      </c>
      <c r="R201" s="20" t="str">
        <f aca="false">IF(I201&gt;0,H201/I201*1000,"")</f>
        <v/>
      </c>
      <c r="S201" s="23" t="str">
        <f aca="false">IF(K201&gt;0,N201/K201,"")</f>
        <v/>
      </c>
      <c r="T201" s="20" t="str">
        <f aca="false">IF(N201&gt;0,H201/N201,"")</f>
        <v/>
      </c>
      <c r="U201" s="18" t="str">
        <f aca="false">IF(H201&gt;0,O201/H201,"")</f>
        <v/>
      </c>
      <c r="V201" s="20" t="str">
        <f aca="false">IF(N201&gt;0,O201/N201,"")</f>
        <v/>
      </c>
      <c r="W201" s="20" t="str">
        <f aca="false">IF(H201&gt;0,O201*الإعدادات!$B$5-H201,"")</f>
        <v/>
      </c>
      <c r="X201" s="23" t="str">
        <f aca="false">IF(AND(I201&gt;0,A201&lt;&gt;""),P201-IFERROR(INDEX(الإعدادات!$B$15:$B$18,MATCH(A201,الإعدادات!$A$15:$A$18,0)),0),"")</f>
        <v/>
      </c>
      <c r="Y201" s="12" t="str">
        <f aca="false">IF(H201="","",IF(H201&lt;الإعدادات!$B$9,"بيانات غير كافية — انتظر",IF(N201=0,"إيقاف أو إعادة بناء (إنفاق بلا مبيعات)",IF(H201/N201&gt;الإعدادات!$B$8*1.5,"خفض الميزانية + اختبار إبداعات جديدة",IF(O201/H201&gt;=الإعدادات!$B$6*1.2,"توسيع الميزانية تدريجياً",IF(O201/H201&gt;=الإعدادات!$B$7,IF(AND(X201&lt;&gt;"",X201&lt;0),"رابحة — حدّث الإبداعات لرفع CTR","رابحة — حافظ وحسّن"),"تحت التعادل — حسّن الصفحة/العرض أو أوقف"))))))</f>
        <v/>
      </c>
    </row>
    <row r="202" customFormat="false" ht="15" hidden="false" customHeight="false" outlineLevel="0" collapsed="false">
      <c r="A202" s="14"/>
      <c r="B202" s="14"/>
      <c r="C202" s="14"/>
      <c r="D202" s="14"/>
      <c r="E202" s="14"/>
      <c r="F202" s="14"/>
      <c r="G202" s="14"/>
      <c r="H202" s="19"/>
      <c r="I202" s="22"/>
      <c r="J202" s="22"/>
      <c r="K202" s="22"/>
      <c r="L202" s="22"/>
      <c r="M202" s="22"/>
      <c r="N202" s="22"/>
      <c r="O202" s="19"/>
      <c r="P202" s="23" t="str">
        <f aca="false">IF(I202&gt;0,K202/I202,"")</f>
        <v/>
      </c>
      <c r="Q202" s="20" t="str">
        <f aca="false">IF(K202&gt;0,H202/K202,"")</f>
        <v/>
      </c>
      <c r="R202" s="20" t="str">
        <f aca="false">IF(I202&gt;0,H202/I202*1000,"")</f>
        <v/>
      </c>
      <c r="S202" s="23" t="str">
        <f aca="false">IF(K202&gt;0,N202/K202,"")</f>
        <v/>
      </c>
      <c r="T202" s="20" t="str">
        <f aca="false">IF(N202&gt;0,H202/N202,"")</f>
        <v/>
      </c>
      <c r="U202" s="18" t="str">
        <f aca="false">IF(H202&gt;0,O202/H202,"")</f>
        <v/>
      </c>
      <c r="V202" s="20" t="str">
        <f aca="false">IF(N202&gt;0,O202/N202,"")</f>
        <v/>
      </c>
      <c r="W202" s="20" t="str">
        <f aca="false">IF(H202&gt;0,O202*الإعدادات!$B$5-H202,"")</f>
        <v/>
      </c>
      <c r="X202" s="23" t="str">
        <f aca="false">IF(AND(I202&gt;0,A202&lt;&gt;""),P202-IFERROR(INDEX(الإعدادات!$B$15:$B$18,MATCH(A202,الإعدادات!$A$15:$A$18,0)),0),"")</f>
        <v/>
      </c>
      <c r="Y202" s="12" t="str">
        <f aca="false">IF(H202="","",IF(H202&lt;الإعدادات!$B$9,"بيانات غير كافية — انتظر",IF(N202=0,"إيقاف أو إعادة بناء (إنفاق بلا مبيعات)",IF(H202/N202&gt;الإعدادات!$B$8*1.5,"خفض الميزانية + اختبار إبداعات جديدة",IF(O202/H202&gt;=الإعدادات!$B$6*1.2,"توسيع الميزانية تدريجياً",IF(O202/H202&gt;=الإعدادات!$B$7,IF(AND(X202&lt;&gt;"",X202&lt;0),"رابحة — حدّث الإبداعات لرفع CTR","رابحة — حافظ وحسّن"),"تحت التعادل — حسّن الصفحة/العرض أو أوقف"))))))</f>
        <v/>
      </c>
    </row>
    <row r="203" customFormat="false" ht="15" hidden="false" customHeight="false" outlineLevel="0" collapsed="false">
      <c r="A203" s="14"/>
      <c r="B203" s="14"/>
      <c r="C203" s="14"/>
      <c r="D203" s="14"/>
      <c r="E203" s="14"/>
      <c r="F203" s="14"/>
      <c r="G203" s="14"/>
      <c r="H203" s="19"/>
      <c r="I203" s="22"/>
      <c r="J203" s="22"/>
      <c r="K203" s="22"/>
      <c r="L203" s="22"/>
      <c r="M203" s="22"/>
      <c r="N203" s="22"/>
      <c r="O203" s="19"/>
      <c r="P203" s="23" t="str">
        <f aca="false">IF(I203&gt;0,K203/I203,"")</f>
        <v/>
      </c>
      <c r="Q203" s="20" t="str">
        <f aca="false">IF(K203&gt;0,H203/K203,"")</f>
        <v/>
      </c>
      <c r="R203" s="20" t="str">
        <f aca="false">IF(I203&gt;0,H203/I203*1000,"")</f>
        <v/>
      </c>
      <c r="S203" s="23" t="str">
        <f aca="false">IF(K203&gt;0,N203/K203,"")</f>
        <v/>
      </c>
      <c r="T203" s="20" t="str">
        <f aca="false">IF(N203&gt;0,H203/N203,"")</f>
        <v/>
      </c>
      <c r="U203" s="18" t="str">
        <f aca="false">IF(H203&gt;0,O203/H203,"")</f>
        <v/>
      </c>
      <c r="V203" s="20" t="str">
        <f aca="false">IF(N203&gt;0,O203/N203,"")</f>
        <v/>
      </c>
      <c r="W203" s="20" t="str">
        <f aca="false">IF(H203&gt;0,O203*الإعدادات!$B$5-H203,"")</f>
        <v/>
      </c>
      <c r="X203" s="23" t="str">
        <f aca="false">IF(AND(I203&gt;0,A203&lt;&gt;""),P203-IFERROR(INDEX(الإعدادات!$B$15:$B$18,MATCH(A203,الإعدادات!$A$15:$A$18,0)),0),"")</f>
        <v/>
      </c>
      <c r="Y203" s="12" t="str">
        <f aca="false">IF(H203="","",IF(H203&lt;الإعدادات!$B$9,"بيانات غير كافية — انتظر",IF(N203=0,"إيقاف أو إعادة بناء (إنفاق بلا مبيعات)",IF(H203/N203&gt;الإعدادات!$B$8*1.5,"خفض الميزانية + اختبار إبداعات جديدة",IF(O203/H203&gt;=الإعدادات!$B$6*1.2,"توسيع الميزانية تدريجياً",IF(O203/H203&gt;=الإعدادات!$B$7,IF(AND(X203&lt;&gt;"",X203&lt;0),"رابحة — حدّث الإبداعات لرفع CTR","رابحة — حافظ وحسّن"),"تحت التعادل — حسّن الصفحة/العرض أو أوقف"))))))</f>
        <v/>
      </c>
    </row>
    <row r="204" customFormat="false" ht="15" hidden="false" customHeight="false" outlineLevel="0" collapsed="false">
      <c r="A204" s="14"/>
      <c r="B204" s="14"/>
      <c r="C204" s="14"/>
      <c r="D204" s="14"/>
      <c r="E204" s="14"/>
      <c r="F204" s="14"/>
      <c r="G204" s="14"/>
      <c r="H204" s="19"/>
      <c r="I204" s="22"/>
      <c r="J204" s="22"/>
      <c r="K204" s="22"/>
      <c r="L204" s="22"/>
      <c r="M204" s="22"/>
      <c r="N204" s="22"/>
      <c r="O204" s="19"/>
      <c r="P204" s="23" t="str">
        <f aca="false">IF(I204&gt;0,K204/I204,"")</f>
        <v/>
      </c>
      <c r="Q204" s="20" t="str">
        <f aca="false">IF(K204&gt;0,H204/K204,"")</f>
        <v/>
      </c>
      <c r="R204" s="20" t="str">
        <f aca="false">IF(I204&gt;0,H204/I204*1000,"")</f>
        <v/>
      </c>
      <c r="S204" s="23" t="str">
        <f aca="false">IF(K204&gt;0,N204/K204,"")</f>
        <v/>
      </c>
      <c r="T204" s="20" t="str">
        <f aca="false">IF(N204&gt;0,H204/N204,"")</f>
        <v/>
      </c>
      <c r="U204" s="18" t="str">
        <f aca="false">IF(H204&gt;0,O204/H204,"")</f>
        <v/>
      </c>
      <c r="V204" s="20" t="str">
        <f aca="false">IF(N204&gt;0,O204/N204,"")</f>
        <v/>
      </c>
      <c r="W204" s="20" t="str">
        <f aca="false">IF(H204&gt;0,O204*الإعدادات!$B$5-H204,"")</f>
        <v/>
      </c>
      <c r="X204" s="23" t="str">
        <f aca="false">IF(AND(I204&gt;0,A204&lt;&gt;""),P204-IFERROR(INDEX(الإعدادات!$B$15:$B$18,MATCH(A204,الإعدادات!$A$15:$A$18,0)),0),"")</f>
        <v/>
      </c>
      <c r="Y204" s="12" t="str">
        <f aca="false">IF(H204="","",IF(H204&lt;الإعدادات!$B$9,"بيانات غير كافية — انتظر",IF(N204=0,"إيقاف أو إعادة بناء (إنفاق بلا مبيعات)",IF(H204/N204&gt;الإعدادات!$B$8*1.5,"خفض الميزانية + اختبار إبداعات جديدة",IF(O204/H204&gt;=الإعدادات!$B$6*1.2,"توسيع الميزانية تدريجياً",IF(O204/H204&gt;=الإعدادات!$B$7,IF(AND(X204&lt;&gt;"",X204&lt;0),"رابحة — حدّث الإبداعات لرفع CTR","رابحة — حافظ وحسّن"),"تحت التعادل — حسّن الصفحة/العرض أو أوقف"))))))</f>
        <v/>
      </c>
    </row>
    <row r="205" customFormat="false" ht="15" hidden="false" customHeight="false" outlineLevel="0" collapsed="false">
      <c r="A205" s="14"/>
      <c r="B205" s="14"/>
      <c r="C205" s="14"/>
      <c r="D205" s="14"/>
      <c r="E205" s="14"/>
      <c r="F205" s="14"/>
      <c r="G205" s="14"/>
      <c r="H205" s="19"/>
      <c r="I205" s="22"/>
      <c r="J205" s="22"/>
      <c r="K205" s="22"/>
      <c r="L205" s="22"/>
      <c r="M205" s="22"/>
      <c r="N205" s="22"/>
      <c r="O205" s="19"/>
      <c r="P205" s="23" t="str">
        <f aca="false">IF(I205&gt;0,K205/I205,"")</f>
        <v/>
      </c>
      <c r="Q205" s="20" t="str">
        <f aca="false">IF(K205&gt;0,H205/K205,"")</f>
        <v/>
      </c>
      <c r="R205" s="20" t="str">
        <f aca="false">IF(I205&gt;0,H205/I205*1000,"")</f>
        <v/>
      </c>
      <c r="S205" s="23" t="str">
        <f aca="false">IF(K205&gt;0,N205/K205,"")</f>
        <v/>
      </c>
      <c r="T205" s="20" t="str">
        <f aca="false">IF(N205&gt;0,H205/N205,"")</f>
        <v/>
      </c>
      <c r="U205" s="18" t="str">
        <f aca="false">IF(H205&gt;0,O205/H205,"")</f>
        <v/>
      </c>
      <c r="V205" s="20" t="str">
        <f aca="false">IF(N205&gt;0,O205/N205,"")</f>
        <v/>
      </c>
      <c r="W205" s="20" t="str">
        <f aca="false">IF(H205&gt;0,O205*الإعدادات!$B$5-H205,"")</f>
        <v/>
      </c>
      <c r="X205" s="23" t="str">
        <f aca="false">IF(AND(I205&gt;0,A205&lt;&gt;""),P205-IFERROR(INDEX(الإعدادات!$B$15:$B$18,MATCH(A205,الإعدادات!$A$15:$A$18,0)),0),"")</f>
        <v/>
      </c>
      <c r="Y205" s="12" t="str">
        <f aca="false">IF(H205="","",IF(H205&lt;الإعدادات!$B$9,"بيانات غير كافية — انتظر",IF(N205=0,"إيقاف أو إعادة بناء (إنفاق بلا مبيعات)",IF(H205/N205&gt;الإعدادات!$B$8*1.5,"خفض الميزانية + اختبار إبداعات جديدة",IF(O205/H205&gt;=الإعدادات!$B$6*1.2,"توسيع الميزانية تدريجياً",IF(O205/H205&gt;=الإعدادات!$B$7,IF(AND(X205&lt;&gt;"",X205&lt;0),"رابحة — حدّث الإبداعات لرفع CTR","رابحة — حافظ وحسّن"),"تحت التعادل — حسّن الصفحة/العرض أو أوقف"))))))</f>
        <v/>
      </c>
    </row>
    <row r="206" customFormat="false" ht="15" hidden="false" customHeight="false" outlineLevel="0" collapsed="false">
      <c r="A206" s="14"/>
      <c r="B206" s="14"/>
      <c r="C206" s="14"/>
      <c r="D206" s="14"/>
      <c r="E206" s="14"/>
      <c r="F206" s="14"/>
      <c r="G206" s="14"/>
      <c r="H206" s="19"/>
      <c r="I206" s="22"/>
      <c r="J206" s="22"/>
      <c r="K206" s="22"/>
      <c r="L206" s="22"/>
      <c r="M206" s="22"/>
      <c r="N206" s="22"/>
      <c r="O206" s="19"/>
      <c r="P206" s="23" t="str">
        <f aca="false">IF(I206&gt;0,K206/I206,"")</f>
        <v/>
      </c>
      <c r="Q206" s="20" t="str">
        <f aca="false">IF(K206&gt;0,H206/K206,"")</f>
        <v/>
      </c>
      <c r="R206" s="20" t="str">
        <f aca="false">IF(I206&gt;0,H206/I206*1000,"")</f>
        <v/>
      </c>
      <c r="S206" s="23" t="str">
        <f aca="false">IF(K206&gt;0,N206/K206,"")</f>
        <v/>
      </c>
      <c r="T206" s="20" t="str">
        <f aca="false">IF(N206&gt;0,H206/N206,"")</f>
        <v/>
      </c>
      <c r="U206" s="18" t="str">
        <f aca="false">IF(H206&gt;0,O206/H206,"")</f>
        <v/>
      </c>
      <c r="V206" s="20" t="str">
        <f aca="false">IF(N206&gt;0,O206/N206,"")</f>
        <v/>
      </c>
      <c r="W206" s="20" t="str">
        <f aca="false">IF(H206&gt;0,O206*الإعدادات!$B$5-H206,"")</f>
        <v/>
      </c>
      <c r="X206" s="23" t="str">
        <f aca="false">IF(AND(I206&gt;0,A206&lt;&gt;""),P206-IFERROR(INDEX(الإعدادات!$B$15:$B$18,MATCH(A206,الإعدادات!$A$15:$A$18,0)),0),"")</f>
        <v/>
      </c>
      <c r="Y206" s="12" t="str">
        <f aca="false">IF(H206="","",IF(H206&lt;الإعدادات!$B$9,"بيانات غير كافية — انتظر",IF(N206=0,"إيقاف أو إعادة بناء (إنفاق بلا مبيعات)",IF(H206/N206&gt;الإعدادات!$B$8*1.5,"خفض الميزانية + اختبار إبداعات جديدة",IF(O206/H206&gt;=الإعدادات!$B$6*1.2,"توسيع الميزانية تدريجياً",IF(O206/H206&gt;=الإعدادات!$B$7,IF(AND(X206&lt;&gt;"",X206&lt;0),"رابحة — حدّث الإبداعات لرفع CTR","رابحة — حافظ وحسّن"),"تحت التعادل — حسّن الصفحة/العرض أو أوقف"))))))</f>
        <v/>
      </c>
    </row>
    <row r="207" customFormat="false" ht="15" hidden="false" customHeight="false" outlineLevel="0" collapsed="false">
      <c r="A207" s="14"/>
      <c r="B207" s="14"/>
      <c r="C207" s="14"/>
      <c r="D207" s="14"/>
      <c r="E207" s="14"/>
      <c r="F207" s="14"/>
      <c r="G207" s="14"/>
      <c r="H207" s="19"/>
      <c r="I207" s="22"/>
      <c r="J207" s="22"/>
      <c r="K207" s="22"/>
      <c r="L207" s="22"/>
      <c r="M207" s="22"/>
      <c r="N207" s="22"/>
      <c r="O207" s="19"/>
      <c r="P207" s="23" t="str">
        <f aca="false">IF(I207&gt;0,K207/I207,"")</f>
        <v/>
      </c>
      <c r="Q207" s="20" t="str">
        <f aca="false">IF(K207&gt;0,H207/K207,"")</f>
        <v/>
      </c>
      <c r="R207" s="20" t="str">
        <f aca="false">IF(I207&gt;0,H207/I207*1000,"")</f>
        <v/>
      </c>
      <c r="S207" s="23" t="str">
        <f aca="false">IF(K207&gt;0,N207/K207,"")</f>
        <v/>
      </c>
      <c r="T207" s="20" t="str">
        <f aca="false">IF(N207&gt;0,H207/N207,"")</f>
        <v/>
      </c>
      <c r="U207" s="18" t="str">
        <f aca="false">IF(H207&gt;0,O207/H207,"")</f>
        <v/>
      </c>
      <c r="V207" s="20" t="str">
        <f aca="false">IF(N207&gt;0,O207/N207,"")</f>
        <v/>
      </c>
      <c r="W207" s="20" t="str">
        <f aca="false">IF(H207&gt;0,O207*الإعدادات!$B$5-H207,"")</f>
        <v/>
      </c>
      <c r="X207" s="23" t="str">
        <f aca="false">IF(AND(I207&gt;0,A207&lt;&gt;""),P207-IFERROR(INDEX(الإعدادات!$B$15:$B$18,MATCH(A207,الإعدادات!$A$15:$A$18,0)),0),"")</f>
        <v/>
      </c>
      <c r="Y207" s="12" t="str">
        <f aca="false">IF(H207="","",IF(H207&lt;الإعدادات!$B$9,"بيانات غير كافية — انتظر",IF(N207=0,"إيقاف أو إعادة بناء (إنفاق بلا مبيعات)",IF(H207/N207&gt;الإعدادات!$B$8*1.5,"خفض الميزانية + اختبار إبداعات جديدة",IF(O207/H207&gt;=الإعدادات!$B$6*1.2,"توسيع الميزانية تدريجياً",IF(O207/H207&gt;=الإعدادات!$B$7,IF(AND(X207&lt;&gt;"",X207&lt;0),"رابحة — حدّث الإبداعات لرفع CTR","رابحة — حافظ وحسّن"),"تحت التعادل — حسّن الصفحة/العرض أو أوقف"))))))</f>
        <v/>
      </c>
    </row>
    <row r="208" customFormat="false" ht="15" hidden="false" customHeight="false" outlineLevel="0" collapsed="false">
      <c r="A208" s="14"/>
      <c r="B208" s="14"/>
      <c r="C208" s="14"/>
      <c r="D208" s="14"/>
      <c r="E208" s="14"/>
      <c r="F208" s="14"/>
      <c r="G208" s="14"/>
      <c r="H208" s="19"/>
      <c r="I208" s="22"/>
      <c r="J208" s="22"/>
      <c r="K208" s="22"/>
      <c r="L208" s="22"/>
      <c r="M208" s="22"/>
      <c r="N208" s="22"/>
      <c r="O208" s="19"/>
      <c r="P208" s="23" t="str">
        <f aca="false">IF(I208&gt;0,K208/I208,"")</f>
        <v/>
      </c>
      <c r="Q208" s="20" t="str">
        <f aca="false">IF(K208&gt;0,H208/K208,"")</f>
        <v/>
      </c>
      <c r="R208" s="20" t="str">
        <f aca="false">IF(I208&gt;0,H208/I208*1000,"")</f>
        <v/>
      </c>
      <c r="S208" s="23" t="str">
        <f aca="false">IF(K208&gt;0,N208/K208,"")</f>
        <v/>
      </c>
      <c r="T208" s="20" t="str">
        <f aca="false">IF(N208&gt;0,H208/N208,"")</f>
        <v/>
      </c>
      <c r="U208" s="18" t="str">
        <f aca="false">IF(H208&gt;0,O208/H208,"")</f>
        <v/>
      </c>
      <c r="V208" s="20" t="str">
        <f aca="false">IF(N208&gt;0,O208/N208,"")</f>
        <v/>
      </c>
      <c r="W208" s="20" t="str">
        <f aca="false">IF(H208&gt;0,O208*الإعدادات!$B$5-H208,"")</f>
        <v/>
      </c>
      <c r="X208" s="23" t="str">
        <f aca="false">IF(AND(I208&gt;0,A208&lt;&gt;""),P208-IFERROR(INDEX(الإعدادات!$B$15:$B$18,MATCH(A208,الإعدادات!$A$15:$A$18,0)),0),"")</f>
        <v/>
      </c>
      <c r="Y208" s="12" t="str">
        <f aca="false">IF(H208="","",IF(H208&lt;الإعدادات!$B$9,"بيانات غير كافية — انتظر",IF(N208=0,"إيقاف أو إعادة بناء (إنفاق بلا مبيعات)",IF(H208/N208&gt;الإعدادات!$B$8*1.5,"خفض الميزانية + اختبار إبداعات جديدة",IF(O208/H208&gt;=الإعدادات!$B$6*1.2,"توسيع الميزانية تدريجياً",IF(O208/H208&gt;=الإعدادات!$B$7,IF(AND(X208&lt;&gt;"",X208&lt;0),"رابحة — حدّث الإبداعات لرفع CTR","رابحة — حافظ وحسّن"),"تحت التعادل — حسّن الصفحة/العرض أو أوقف"))))))</f>
        <v/>
      </c>
    </row>
    <row r="209" customFormat="false" ht="15" hidden="false" customHeight="false" outlineLevel="0" collapsed="false">
      <c r="A209" s="14"/>
      <c r="B209" s="14"/>
      <c r="C209" s="14"/>
      <c r="D209" s="14"/>
      <c r="E209" s="14"/>
      <c r="F209" s="14"/>
      <c r="G209" s="14"/>
      <c r="H209" s="19"/>
      <c r="I209" s="22"/>
      <c r="J209" s="22"/>
      <c r="K209" s="22"/>
      <c r="L209" s="22"/>
      <c r="M209" s="22"/>
      <c r="N209" s="22"/>
      <c r="O209" s="19"/>
      <c r="P209" s="23" t="str">
        <f aca="false">IF(I209&gt;0,K209/I209,"")</f>
        <v/>
      </c>
      <c r="Q209" s="20" t="str">
        <f aca="false">IF(K209&gt;0,H209/K209,"")</f>
        <v/>
      </c>
      <c r="R209" s="20" t="str">
        <f aca="false">IF(I209&gt;0,H209/I209*1000,"")</f>
        <v/>
      </c>
      <c r="S209" s="23" t="str">
        <f aca="false">IF(K209&gt;0,N209/K209,"")</f>
        <v/>
      </c>
      <c r="T209" s="20" t="str">
        <f aca="false">IF(N209&gt;0,H209/N209,"")</f>
        <v/>
      </c>
      <c r="U209" s="18" t="str">
        <f aca="false">IF(H209&gt;0,O209/H209,"")</f>
        <v/>
      </c>
      <c r="V209" s="20" t="str">
        <f aca="false">IF(N209&gt;0,O209/N209,"")</f>
        <v/>
      </c>
      <c r="W209" s="20" t="str">
        <f aca="false">IF(H209&gt;0,O209*الإعدادات!$B$5-H209,"")</f>
        <v/>
      </c>
      <c r="X209" s="23" t="str">
        <f aca="false">IF(AND(I209&gt;0,A209&lt;&gt;""),P209-IFERROR(INDEX(الإعدادات!$B$15:$B$18,MATCH(A209,الإعدادات!$A$15:$A$18,0)),0),"")</f>
        <v/>
      </c>
      <c r="Y209" s="12" t="str">
        <f aca="false">IF(H209="","",IF(H209&lt;الإعدادات!$B$9,"بيانات غير كافية — انتظر",IF(N209=0,"إيقاف أو إعادة بناء (إنفاق بلا مبيعات)",IF(H209/N209&gt;الإعدادات!$B$8*1.5,"خفض الميزانية + اختبار إبداعات جديدة",IF(O209/H209&gt;=الإعدادات!$B$6*1.2,"توسيع الميزانية تدريجياً",IF(O209/H209&gt;=الإعدادات!$B$7,IF(AND(X209&lt;&gt;"",X209&lt;0),"رابحة — حدّث الإبداعات لرفع CTR","رابحة — حافظ وحسّن"),"تحت التعادل — حسّن الصفحة/العرض أو أوقف"))))))</f>
        <v/>
      </c>
    </row>
    <row r="210" customFormat="false" ht="15" hidden="false" customHeight="false" outlineLevel="0" collapsed="false">
      <c r="A210" s="14"/>
      <c r="B210" s="14"/>
      <c r="C210" s="14"/>
      <c r="D210" s="14"/>
      <c r="E210" s="14"/>
      <c r="F210" s="14"/>
      <c r="G210" s="14"/>
      <c r="H210" s="19"/>
      <c r="I210" s="22"/>
      <c r="J210" s="22"/>
      <c r="K210" s="22"/>
      <c r="L210" s="22"/>
      <c r="M210" s="22"/>
      <c r="N210" s="22"/>
      <c r="O210" s="19"/>
      <c r="P210" s="23" t="str">
        <f aca="false">IF(I210&gt;0,K210/I210,"")</f>
        <v/>
      </c>
      <c r="Q210" s="20" t="str">
        <f aca="false">IF(K210&gt;0,H210/K210,"")</f>
        <v/>
      </c>
      <c r="R210" s="20" t="str">
        <f aca="false">IF(I210&gt;0,H210/I210*1000,"")</f>
        <v/>
      </c>
      <c r="S210" s="23" t="str">
        <f aca="false">IF(K210&gt;0,N210/K210,"")</f>
        <v/>
      </c>
      <c r="T210" s="20" t="str">
        <f aca="false">IF(N210&gt;0,H210/N210,"")</f>
        <v/>
      </c>
      <c r="U210" s="18" t="str">
        <f aca="false">IF(H210&gt;0,O210/H210,"")</f>
        <v/>
      </c>
      <c r="V210" s="20" t="str">
        <f aca="false">IF(N210&gt;0,O210/N210,"")</f>
        <v/>
      </c>
      <c r="W210" s="20" t="str">
        <f aca="false">IF(H210&gt;0,O210*الإعدادات!$B$5-H210,"")</f>
        <v/>
      </c>
      <c r="X210" s="23" t="str">
        <f aca="false">IF(AND(I210&gt;0,A210&lt;&gt;""),P210-IFERROR(INDEX(الإعدادات!$B$15:$B$18,MATCH(A210,الإعدادات!$A$15:$A$18,0)),0),"")</f>
        <v/>
      </c>
      <c r="Y210" s="12" t="str">
        <f aca="false">IF(H210="","",IF(H210&lt;الإعدادات!$B$9,"بيانات غير كافية — انتظر",IF(N210=0,"إيقاف أو إعادة بناء (إنفاق بلا مبيعات)",IF(H210/N210&gt;الإعدادات!$B$8*1.5,"خفض الميزانية + اختبار إبداعات جديدة",IF(O210/H210&gt;=الإعدادات!$B$6*1.2,"توسيع الميزانية تدريجياً",IF(O210/H210&gt;=الإعدادات!$B$7,IF(AND(X210&lt;&gt;"",X210&lt;0),"رابحة — حدّث الإبداعات لرفع CTR","رابحة — حافظ وحسّن"),"تحت التعادل — حسّن الصفحة/العرض أو أوقف"))))))</f>
        <v/>
      </c>
    </row>
    <row r="211" customFormat="false" ht="15" hidden="false" customHeight="false" outlineLevel="0" collapsed="false">
      <c r="A211" s="14"/>
      <c r="B211" s="14"/>
      <c r="C211" s="14"/>
      <c r="D211" s="14"/>
      <c r="E211" s="14"/>
      <c r="F211" s="14"/>
      <c r="G211" s="14"/>
      <c r="H211" s="19"/>
      <c r="I211" s="22"/>
      <c r="J211" s="22"/>
      <c r="K211" s="22"/>
      <c r="L211" s="22"/>
      <c r="M211" s="22"/>
      <c r="N211" s="22"/>
      <c r="O211" s="19"/>
      <c r="P211" s="23" t="str">
        <f aca="false">IF(I211&gt;0,K211/I211,"")</f>
        <v/>
      </c>
      <c r="Q211" s="20" t="str">
        <f aca="false">IF(K211&gt;0,H211/K211,"")</f>
        <v/>
      </c>
      <c r="R211" s="20" t="str">
        <f aca="false">IF(I211&gt;0,H211/I211*1000,"")</f>
        <v/>
      </c>
      <c r="S211" s="23" t="str">
        <f aca="false">IF(K211&gt;0,N211/K211,"")</f>
        <v/>
      </c>
      <c r="T211" s="20" t="str">
        <f aca="false">IF(N211&gt;0,H211/N211,"")</f>
        <v/>
      </c>
      <c r="U211" s="18" t="str">
        <f aca="false">IF(H211&gt;0,O211/H211,"")</f>
        <v/>
      </c>
      <c r="V211" s="20" t="str">
        <f aca="false">IF(N211&gt;0,O211/N211,"")</f>
        <v/>
      </c>
      <c r="W211" s="20" t="str">
        <f aca="false">IF(H211&gt;0,O211*الإعدادات!$B$5-H211,"")</f>
        <v/>
      </c>
      <c r="X211" s="23" t="str">
        <f aca="false">IF(AND(I211&gt;0,A211&lt;&gt;""),P211-IFERROR(INDEX(الإعدادات!$B$15:$B$18,MATCH(A211,الإعدادات!$A$15:$A$18,0)),0),"")</f>
        <v/>
      </c>
      <c r="Y211" s="12" t="str">
        <f aca="false">IF(H211="","",IF(H211&lt;الإعدادات!$B$9,"بيانات غير كافية — انتظر",IF(N211=0,"إيقاف أو إعادة بناء (إنفاق بلا مبيعات)",IF(H211/N211&gt;الإعدادات!$B$8*1.5,"خفض الميزانية + اختبار إبداعات جديدة",IF(O211/H211&gt;=الإعدادات!$B$6*1.2,"توسيع الميزانية تدريجياً",IF(O211/H211&gt;=الإعدادات!$B$7,IF(AND(X211&lt;&gt;"",X211&lt;0),"رابحة — حدّث الإبداعات لرفع CTR","رابحة — حافظ وحسّن"),"تحت التعادل — حسّن الصفحة/العرض أو أوقف"))))))</f>
        <v/>
      </c>
    </row>
    <row r="212" customFormat="false" ht="15" hidden="false" customHeight="false" outlineLevel="0" collapsed="false">
      <c r="A212" s="14"/>
      <c r="B212" s="14"/>
      <c r="C212" s="14"/>
      <c r="D212" s="14"/>
      <c r="E212" s="14"/>
      <c r="F212" s="14"/>
      <c r="G212" s="14"/>
      <c r="H212" s="19"/>
      <c r="I212" s="22"/>
      <c r="J212" s="22"/>
      <c r="K212" s="22"/>
      <c r="L212" s="22"/>
      <c r="M212" s="22"/>
      <c r="N212" s="22"/>
      <c r="O212" s="19"/>
      <c r="P212" s="23" t="str">
        <f aca="false">IF(I212&gt;0,K212/I212,"")</f>
        <v/>
      </c>
      <c r="Q212" s="20" t="str">
        <f aca="false">IF(K212&gt;0,H212/K212,"")</f>
        <v/>
      </c>
      <c r="R212" s="20" t="str">
        <f aca="false">IF(I212&gt;0,H212/I212*1000,"")</f>
        <v/>
      </c>
      <c r="S212" s="23" t="str">
        <f aca="false">IF(K212&gt;0,N212/K212,"")</f>
        <v/>
      </c>
      <c r="T212" s="20" t="str">
        <f aca="false">IF(N212&gt;0,H212/N212,"")</f>
        <v/>
      </c>
      <c r="U212" s="18" t="str">
        <f aca="false">IF(H212&gt;0,O212/H212,"")</f>
        <v/>
      </c>
      <c r="V212" s="20" t="str">
        <f aca="false">IF(N212&gt;0,O212/N212,"")</f>
        <v/>
      </c>
      <c r="W212" s="20" t="str">
        <f aca="false">IF(H212&gt;0,O212*الإعدادات!$B$5-H212,"")</f>
        <v/>
      </c>
      <c r="X212" s="23" t="str">
        <f aca="false">IF(AND(I212&gt;0,A212&lt;&gt;""),P212-IFERROR(INDEX(الإعدادات!$B$15:$B$18,MATCH(A212,الإعدادات!$A$15:$A$18,0)),0),"")</f>
        <v/>
      </c>
      <c r="Y212" s="12" t="str">
        <f aca="false">IF(H212="","",IF(H212&lt;الإعدادات!$B$9,"بيانات غير كافية — انتظر",IF(N212=0,"إيقاف أو إعادة بناء (إنفاق بلا مبيعات)",IF(H212/N212&gt;الإعدادات!$B$8*1.5,"خفض الميزانية + اختبار إبداعات جديدة",IF(O212/H212&gt;=الإعدادات!$B$6*1.2,"توسيع الميزانية تدريجياً",IF(O212/H212&gt;=الإعدادات!$B$7,IF(AND(X212&lt;&gt;"",X212&lt;0),"رابحة — حدّث الإبداعات لرفع CTR","رابحة — حافظ وحسّن"),"تحت التعادل — حسّن الصفحة/العرض أو أوقف"))))))</f>
        <v/>
      </c>
    </row>
    <row r="213" customFormat="false" ht="15" hidden="false" customHeight="false" outlineLevel="0" collapsed="false">
      <c r="A213" s="14"/>
      <c r="B213" s="14"/>
      <c r="C213" s="14"/>
      <c r="D213" s="14"/>
      <c r="E213" s="14"/>
      <c r="F213" s="14"/>
      <c r="G213" s="14"/>
      <c r="H213" s="19"/>
      <c r="I213" s="22"/>
      <c r="J213" s="22"/>
      <c r="K213" s="22"/>
      <c r="L213" s="22"/>
      <c r="M213" s="22"/>
      <c r="N213" s="22"/>
      <c r="O213" s="19"/>
      <c r="P213" s="23" t="str">
        <f aca="false">IF(I213&gt;0,K213/I213,"")</f>
        <v/>
      </c>
      <c r="Q213" s="20" t="str">
        <f aca="false">IF(K213&gt;0,H213/K213,"")</f>
        <v/>
      </c>
      <c r="R213" s="20" t="str">
        <f aca="false">IF(I213&gt;0,H213/I213*1000,"")</f>
        <v/>
      </c>
      <c r="S213" s="23" t="str">
        <f aca="false">IF(K213&gt;0,N213/K213,"")</f>
        <v/>
      </c>
      <c r="T213" s="20" t="str">
        <f aca="false">IF(N213&gt;0,H213/N213,"")</f>
        <v/>
      </c>
      <c r="U213" s="18" t="str">
        <f aca="false">IF(H213&gt;0,O213/H213,"")</f>
        <v/>
      </c>
      <c r="V213" s="20" t="str">
        <f aca="false">IF(N213&gt;0,O213/N213,"")</f>
        <v/>
      </c>
      <c r="W213" s="20" t="str">
        <f aca="false">IF(H213&gt;0,O213*الإعدادات!$B$5-H213,"")</f>
        <v/>
      </c>
      <c r="X213" s="23" t="str">
        <f aca="false">IF(AND(I213&gt;0,A213&lt;&gt;""),P213-IFERROR(INDEX(الإعدادات!$B$15:$B$18,MATCH(A213,الإعدادات!$A$15:$A$18,0)),0),"")</f>
        <v/>
      </c>
      <c r="Y213" s="12" t="str">
        <f aca="false">IF(H213="","",IF(H213&lt;الإعدادات!$B$9,"بيانات غير كافية — انتظر",IF(N213=0,"إيقاف أو إعادة بناء (إنفاق بلا مبيعات)",IF(H213/N213&gt;الإعدادات!$B$8*1.5,"خفض الميزانية + اختبار إبداعات جديدة",IF(O213/H213&gt;=الإعدادات!$B$6*1.2,"توسيع الميزانية تدريجياً",IF(O213/H213&gt;=الإعدادات!$B$7,IF(AND(X213&lt;&gt;"",X213&lt;0),"رابحة — حدّث الإبداعات لرفع CTR","رابحة — حافظ وحسّن"),"تحت التعادل — حسّن الصفحة/العرض أو أوقف"))))))</f>
        <v/>
      </c>
    </row>
    <row r="214" customFormat="false" ht="15" hidden="false" customHeight="false" outlineLevel="0" collapsed="false">
      <c r="A214" s="14"/>
      <c r="B214" s="14"/>
      <c r="C214" s="14"/>
      <c r="D214" s="14"/>
      <c r="E214" s="14"/>
      <c r="F214" s="14"/>
      <c r="G214" s="14"/>
      <c r="H214" s="19"/>
      <c r="I214" s="22"/>
      <c r="J214" s="22"/>
      <c r="K214" s="22"/>
      <c r="L214" s="22"/>
      <c r="M214" s="22"/>
      <c r="N214" s="22"/>
      <c r="O214" s="19"/>
      <c r="P214" s="23" t="str">
        <f aca="false">IF(I214&gt;0,K214/I214,"")</f>
        <v/>
      </c>
      <c r="Q214" s="20" t="str">
        <f aca="false">IF(K214&gt;0,H214/K214,"")</f>
        <v/>
      </c>
      <c r="R214" s="20" t="str">
        <f aca="false">IF(I214&gt;0,H214/I214*1000,"")</f>
        <v/>
      </c>
      <c r="S214" s="23" t="str">
        <f aca="false">IF(K214&gt;0,N214/K214,"")</f>
        <v/>
      </c>
      <c r="T214" s="20" t="str">
        <f aca="false">IF(N214&gt;0,H214/N214,"")</f>
        <v/>
      </c>
      <c r="U214" s="18" t="str">
        <f aca="false">IF(H214&gt;0,O214/H214,"")</f>
        <v/>
      </c>
      <c r="V214" s="20" t="str">
        <f aca="false">IF(N214&gt;0,O214/N214,"")</f>
        <v/>
      </c>
      <c r="W214" s="20" t="str">
        <f aca="false">IF(H214&gt;0,O214*الإعدادات!$B$5-H214,"")</f>
        <v/>
      </c>
      <c r="X214" s="23" t="str">
        <f aca="false">IF(AND(I214&gt;0,A214&lt;&gt;""),P214-IFERROR(INDEX(الإعدادات!$B$15:$B$18,MATCH(A214,الإعدادات!$A$15:$A$18,0)),0),"")</f>
        <v/>
      </c>
      <c r="Y214" s="12" t="str">
        <f aca="false">IF(H214="","",IF(H214&lt;الإعدادات!$B$9,"بيانات غير كافية — انتظر",IF(N214=0,"إيقاف أو إعادة بناء (إنفاق بلا مبيعات)",IF(H214/N214&gt;الإعدادات!$B$8*1.5,"خفض الميزانية + اختبار إبداعات جديدة",IF(O214/H214&gt;=الإعدادات!$B$6*1.2,"توسيع الميزانية تدريجياً",IF(O214/H214&gt;=الإعدادات!$B$7,IF(AND(X214&lt;&gt;"",X214&lt;0),"رابحة — حدّث الإبداعات لرفع CTR","رابحة — حافظ وحسّن"),"تحت التعادل — حسّن الصفحة/العرض أو أوقف"))))))</f>
        <v/>
      </c>
    </row>
    <row r="215" customFormat="false" ht="15" hidden="false" customHeight="false" outlineLevel="0" collapsed="false">
      <c r="A215" s="14"/>
      <c r="B215" s="14"/>
      <c r="C215" s="14"/>
      <c r="D215" s="14"/>
      <c r="E215" s="14"/>
      <c r="F215" s="14"/>
      <c r="G215" s="14"/>
      <c r="H215" s="19"/>
      <c r="I215" s="22"/>
      <c r="J215" s="22"/>
      <c r="K215" s="22"/>
      <c r="L215" s="22"/>
      <c r="M215" s="22"/>
      <c r="N215" s="22"/>
      <c r="O215" s="19"/>
      <c r="P215" s="23" t="str">
        <f aca="false">IF(I215&gt;0,K215/I215,"")</f>
        <v/>
      </c>
      <c r="Q215" s="20" t="str">
        <f aca="false">IF(K215&gt;0,H215/K215,"")</f>
        <v/>
      </c>
      <c r="R215" s="20" t="str">
        <f aca="false">IF(I215&gt;0,H215/I215*1000,"")</f>
        <v/>
      </c>
      <c r="S215" s="23" t="str">
        <f aca="false">IF(K215&gt;0,N215/K215,"")</f>
        <v/>
      </c>
      <c r="T215" s="20" t="str">
        <f aca="false">IF(N215&gt;0,H215/N215,"")</f>
        <v/>
      </c>
      <c r="U215" s="18" t="str">
        <f aca="false">IF(H215&gt;0,O215/H215,"")</f>
        <v/>
      </c>
      <c r="V215" s="20" t="str">
        <f aca="false">IF(N215&gt;0,O215/N215,"")</f>
        <v/>
      </c>
      <c r="W215" s="20" t="str">
        <f aca="false">IF(H215&gt;0,O215*الإعدادات!$B$5-H215,"")</f>
        <v/>
      </c>
      <c r="X215" s="23" t="str">
        <f aca="false">IF(AND(I215&gt;0,A215&lt;&gt;""),P215-IFERROR(INDEX(الإعدادات!$B$15:$B$18,MATCH(A215,الإعدادات!$A$15:$A$18,0)),0),"")</f>
        <v/>
      </c>
      <c r="Y215" s="12" t="str">
        <f aca="false">IF(H215="","",IF(H215&lt;الإعدادات!$B$9,"بيانات غير كافية — انتظر",IF(N215=0,"إيقاف أو إعادة بناء (إنفاق بلا مبيعات)",IF(H215/N215&gt;الإعدادات!$B$8*1.5,"خفض الميزانية + اختبار إبداعات جديدة",IF(O215/H215&gt;=الإعدادات!$B$6*1.2,"توسيع الميزانية تدريجياً",IF(O215/H215&gt;=الإعدادات!$B$7,IF(AND(X215&lt;&gt;"",X215&lt;0),"رابحة — حدّث الإبداعات لرفع CTR","رابحة — حافظ وحسّن"),"تحت التعادل — حسّن الصفحة/العرض أو أوقف"))))))</f>
        <v/>
      </c>
    </row>
    <row r="216" customFormat="false" ht="15" hidden="false" customHeight="false" outlineLevel="0" collapsed="false">
      <c r="A216" s="14"/>
      <c r="B216" s="14"/>
      <c r="C216" s="14"/>
      <c r="D216" s="14"/>
      <c r="E216" s="14"/>
      <c r="F216" s="14"/>
      <c r="G216" s="14"/>
      <c r="H216" s="19"/>
      <c r="I216" s="22"/>
      <c r="J216" s="22"/>
      <c r="K216" s="22"/>
      <c r="L216" s="22"/>
      <c r="M216" s="22"/>
      <c r="N216" s="22"/>
      <c r="O216" s="19"/>
      <c r="P216" s="23" t="str">
        <f aca="false">IF(I216&gt;0,K216/I216,"")</f>
        <v/>
      </c>
      <c r="Q216" s="20" t="str">
        <f aca="false">IF(K216&gt;0,H216/K216,"")</f>
        <v/>
      </c>
      <c r="R216" s="20" t="str">
        <f aca="false">IF(I216&gt;0,H216/I216*1000,"")</f>
        <v/>
      </c>
      <c r="S216" s="23" t="str">
        <f aca="false">IF(K216&gt;0,N216/K216,"")</f>
        <v/>
      </c>
      <c r="T216" s="20" t="str">
        <f aca="false">IF(N216&gt;0,H216/N216,"")</f>
        <v/>
      </c>
      <c r="U216" s="18" t="str">
        <f aca="false">IF(H216&gt;0,O216/H216,"")</f>
        <v/>
      </c>
      <c r="V216" s="20" t="str">
        <f aca="false">IF(N216&gt;0,O216/N216,"")</f>
        <v/>
      </c>
      <c r="W216" s="20" t="str">
        <f aca="false">IF(H216&gt;0,O216*الإعدادات!$B$5-H216,"")</f>
        <v/>
      </c>
      <c r="X216" s="23" t="str">
        <f aca="false">IF(AND(I216&gt;0,A216&lt;&gt;""),P216-IFERROR(INDEX(الإعدادات!$B$15:$B$18,MATCH(A216,الإعدادات!$A$15:$A$18,0)),0),"")</f>
        <v/>
      </c>
      <c r="Y216" s="12" t="str">
        <f aca="false">IF(H216="","",IF(H216&lt;الإعدادات!$B$9,"بيانات غير كافية — انتظر",IF(N216=0,"إيقاف أو إعادة بناء (إنفاق بلا مبيعات)",IF(H216/N216&gt;الإعدادات!$B$8*1.5,"خفض الميزانية + اختبار إبداعات جديدة",IF(O216/H216&gt;=الإعدادات!$B$6*1.2,"توسيع الميزانية تدريجياً",IF(O216/H216&gt;=الإعدادات!$B$7,IF(AND(X216&lt;&gt;"",X216&lt;0),"رابحة — حدّث الإبداعات لرفع CTR","رابحة — حافظ وحسّن"),"تحت التعادل — حسّن الصفحة/العرض أو أوقف"))))))</f>
        <v/>
      </c>
    </row>
    <row r="217" customFormat="false" ht="15" hidden="false" customHeight="false" outlineLevel="0" collapsed="false">
      <c r="A217" s="14"/>
      <c r="B217" s="14"/>
      <c r="C217" s="14"/>
      <c r="D217" s="14"/>
      <c r="E217" s="14"/>
      <c r="F217" s="14"/>
      <c r="G217" s="14"/>
      <c r="H217" s="19"/>
      <c r="I217" s="22"/>
      <c r="J217" s="22"/>
      <c r="K217" s="22"/>
      <c r="L217" s="22"/>
      <c r="M217" s="22"/>
      <c r="N217" s="22"/>
      <c r="O217" s="19"/>
      <c r="P217" s="23" t="str">
        <f aca="false">IF(I217&gt;0,K217/I217,"")</f>
        <v/>
      </c>
      <c r="Q217" s="20" t="str">
        <f aca="false">IF(K217&gt;0,H217/K217,"")</f>
        <v/>
      </c>
      <c r="R217" s="20" t="str">
        <f aca="false">IF(I217&gt;0,H217/I217*1000,"")</f>
        <v/>
      </c>
      <c r="S217" s="23" t="str">
        <f aca="false">IF(K217&gt;0,N217/K217,"")</f>
        <v/>
      </c>
      <c r="T217" s="20" t="str">
        <f aca="false">IF(N217&gt;0,H217/N217,"")</f>
        <v/>
      </c>
      <c r="U217" s="18" t="str">
        <f aca="false">IF(H217&gt;0,O217/H217,"")</f>
        <v/>
      </c>
      <c r="V217" s="20" t="str">
        <f aca="false">IF(N217&gt;0,O217/N217,"")</f>
        <v/>
      </c>
      <c r="W217" s="20" t="str">
        <f aca="false">IF(H217&gt;0,O217*الإعدادات!$B$5-H217,"")</f>
        <v/>
      </c>
      <c r="X217" s="23" t="str">
        <f aca="false">IF(AND(I217&gt;0,A217&lt;&gt;""),P217-IFERROR(INDEX(الإعدادات!$B$15:$B$18,MATCH(A217,الإعدادات!$A$15:$A$18,0)),0),"")</f>
        <v/>
      </c>
      <c r="Y217" s="12" t="str">
        <f aca="false">IF(H217="","",IF(H217&lt;الإعدادات!$B$9,"بيانات غير كافية — انتظر",IF(N217=0,"إيقاف أو إعادة بناء (إنفاق بلا مبيعات)",IF(H217/N217&gt;الإعدادات!$B$8*1.5,"خفض الميزانية + اختبار إبداعات جديدة",IF(O217/H217&gt;=الإعدادات!$B$6*1.2,"توسيع الميزانية تدريجياً",IF(O217/H217&gt;=الإعدادات!$B$7,IF(AND(X217&lt;&gt;"",X217&lt;0),"رابحة — حدّث الإبداعات لرفع CTR","رابحة — حافظ وحسّن"),"تحت التعادل — حسّن الصفحة/العرض أو أوقف"))))))</f>
        <v/>
      </c>
    </row>
    <row r="218" customFormat="false" ht="15" hidden="false" customHeight="false" outlineLevel="0" collapsed="false">
      <c r="A218" s="14"/>
      <c r="B218" s="14"/>
      <c r="C218" s="14"/>
      <c r="D218" s="14"/>
      <c r="E218" s="14"/>
      <c r="F218" s="14"/>
      <c r="G218" s="14"/>
      <c r="H218" s="19"/>
      <c r="I218" s="22"/>
      <c r="J218" s="22"/>
      <c r="K218" s="22"/>
      <c r="L218" s="22"/>
      <c r="M218" s="22"/>
      <c r="N218" s="22"/>
      <c r="O218" s="19"/>
      <c r="P218" s="23" t="str">
        <f aca="false">IF(I218&gt;0,K218/I218,"")</f>
        <v/>
      </c>
      <c r="Q218" s="20" t="str">
        <f aca="false">IF(K218&gt;0,H218/K218,"")</f>
        <v/>
      </c>
      <c r="R218" s="20" t="str">
        <f aca="false">IF(I218&gt;0,H218/I218*1000,"")</f>
        <v/>
      </c>
      <c r="S218" s="23" t="str">
        <f aca="false">IF(K218&gt;0,N218/K218,"")</f>
        <v/>
      </c>
      <c r="T218" s="20" t="str">
        <f aca="false">IF(N218&gt;0,H218/N218,"")</f>
        <v/>
      </c>
      <c r="U218" s="18" t="str">
        <f aca="false">IF(H218&gt;0,O218/H218,"")</f>
        <v/>
      </c>
      <c r="V218" s="20" t="str">
        <f aca="false">IF(N218&gt;0,O218/N218,"")</f>
        <v/>
      </c>
      <c r="W218" s="20" t="str">
        <f aca="false">IF(H218&gt;0,O218*الإعدادات!$B$5-H218,"")</f>
        <v/>
      </c>
      <c r="X218" s="23" t="str">
        <f aca="false">IF(AND(I218&gt;0,A218&lt;&gt;""),P218-IFERROR(INDEX(الإعدادات!$B$15:$B$18,MATCH(A218,الإعدادات!$A$15:$A$18,0)),0),"")</f>
        <v/>
      </c>
      <c r="Y218" s="12" t="str">
        <f aca="false">IF(H218="","",IF(H218&lt;الإعدادات!$B$9,"بيانات غير كافية — انتظر",IF(N218=0,"إيقاف أو إعادة بناء (إنفاق بلا مبيعات)",IF(H218/N218&gt;الإعدادات!$B$8*1.5,"خفض الميزانية + اختبار إبداعات جديدة",IF(O218/H218&gt;=الإعدادات!$B$6*1.2,"توسيع الميزانية تدريجياً",IF(O218/H218&gt;=الإعدادات!$B$7,IF(AND(X218&lt;&gt;"",X218&lt;0),"رابحة — حدّث الإبداعات لرفع CTR","رابحة — حافظ وحسّن"),"تحت التعادل — حسّن الصفحة/العرض أو أوقف"))))))</f>
        <v/>
      </c>
    </row>
    <row r="219" customFormat="false" ht="15" hidden="false" customHeight="false" outlineLevel="0" collapsed="false">
      <c r="A219" s="14"/>
      <c r="B219" s="14"/>
      <c r="C219" s="14"/>
      <c r="D219" s="14"/>
      <c r="E219" s="14"/>
      <c r="F219" s="14"/>
      <c r="G219" s="14"/>
      <c r="H219" s="19"/>
      <c r="I219" s="22"/>
      <c r="J219" s="22"/>
      <c r="K219" s="22"/>
      <c r="L219" s="22"/>
      <c r="M219" s="22"/>
      <c r="N219" s="22"/>
      <c r="O219" s="19"/>
      <c r="P219" s="23" t="str">
        <f aca="false">IF(I219&gt;0,K219/I219,"")</f>
        <v/>
      </c>
      <c r="Q219" s="20" t="str">
        <f aca="false">IF(K219&gt;0,H219/K219,"")</f>
        <v/>
      </c>
      <c r="R219" s="20" t="str">
        <f aca="false">IF(I219&gt;0,H219/I219*1000,"")</f>
        <v/>
      </c>
      <c r="S219" s="23" t="str">
        <f aca="false">IF(K219&gt;0,N219/K219,"")</f>
        <v/>
      </c>
      <c r="T219" s="20" t="str">
        <f aca="false">IF(N219&gt;0,H219/N219,"")</f>
        <v/>
      </c>
      <c r="U219" s="18" t="str">
        <f aca="false">IF(H219&gt;0,O219/H219,"")</f>
        <v/>
      </c>
      <c r="V219" s="20" t="str">
        <f aca="false">IF(N219&gt;0,O219/N219,"")</f>
        <v/>
      </c>
      <c r="W219" s="20" t="str">
        <f aca="false">IF(H219&gt;0,O219*الإعدادات!$B$5-H219,"")</f>
        <v/>
      </c>
      <c r="X219" s="23" t="str">
        <f aca="false">IF(AND(I219&gt;0,A219&lt;&gt;""),P219-IFERROR(INDEX(الإعدادات!$B$15:$B$18,MATCH(A219,الإعدادات!$A$15:$A$18,0)),0),"")</f>
        <v/>
      </c>
      <c r="Y219" s="12" t="str">
        <f aca="false">IF(H219="","",IF(H219&lt;الإعدادات!$B$9,"بيانات غير كافية — انتظر",IF(N219=0,"إيقاف أو إعادة بناء (إنفاق بلا مبيعات)",IF(H219/N219&gt;الإعدادات!$B$8*1.5,"خفض الميزانية + اختبار إبداعات جديدة",IF(O219/H219&gt;=الإعدادات!$B$6*1.2,"توسيع الميزانية تدريجياً",IF(O219/H219&gt;=الإعدادات!$B$7,IF(AND(X219&lt;&gt;"",X219&lt;0),"رابحة — حدّث الإبداعات لرفع CTR","رابحة — حافظ وحسّن"),"تحت التعادل — حسّن الصفحة/العرض أو أوقف"))))))</f>
        <v/>
      </c>
    </row>
    <row r="220" customFormat="false" ht="15" hidden="false" customHeight="false" outlineLevel="0" collapsed="false">
      <c r="A220" s="14"/>
      <c r="B220" s="14"/>
      <c r="C220" s="14"/>
      <c r="D220" s="14"/>
      <c r="E220" s="14"/>
      <c r="F220" s="14"/>
      <c r="G220" s="14"/>
      <c r="H220" s="19"/>
      <c r="I220" s="22"/>
      <c r="J220" s="22"/>
      <c r="K220" s="22"/>
      <c r="L220" s="22"/>
      <c r="M220" s="22"/>
      <c r="N220" s="22"/>
      <c r="O220" s="19"/>
      <c r="P220" s="23" t="str">
        <f aca="false">IF(I220&gt;0,K220/I220,"")</f>
        <v/>
      </c>
      <c r="Q220" s="20" t="str">
        <f aca="false">IF(K220&gt;0,H220/K220,"")</f>
        <v/>
      </c>
      <c r="R220" s="20" t="str">
        <f aca="false">IF(I220&gt;0,H220/I220*1000,"")</f>
        <v/>
      </c>
      <c r="S220" s="23" t="str">
        <f aca="false">IF(K220&gt;0,N220/K220,"")</f>
        <v/>
      </c>
      <c r="T220" s="20" t="str">
        <f aca="false">IF(N220&gt;0,H220/N220,"")</f>
        <v/>
      </c>
      <c r="U220" s="18" t="str">
        <f aca="false">IF(H220&gt;0,O220/H220,"")</f>
        <v/>
      </c>
      <c r="V220" s="20" t="str">
        <f aca="false">IF(N220&gt;0,O220/N220,"")</f>
        <v/>
      </c>
      <c r="W220" s="20" t="str">
        <f aca="false">IF(H220&gt;0,O220*الإعدادات!$B$5-H220,"")</f>
        <v/>
      </c>
      <c r="X220" s="23" t="str">
        <f aca="false">IF(AND(I220&gt;0,A220&lt;&gt;""),P220-IFERROR(INDEX(الإعدادات!$B$15:$B$18,MATCH(A220,الإعدادات!$A$15:$A$18,0)),0),"")</f>
        <v/>
      </c>
      <c r="Y220" s="12" t="str">
        <f aca="false">IF(H220="","",IF(H220&lt;الإعدادات!$B$9,"بيانات غير كافية — انتظر",IF(N220=0,"إيقاف أو إعادة بناء (إنفاق بلا مبيعات)",IF(H220/N220&gt;الإعدادات!$B$8*1.5,"خفض الميزانية + اختبار إبداعات جديدة",IF(O220/H220&gt;=الإعدادات!$B$6*1.2,"توسيع الميزانية تدريجياً",IF(O220/H220&gt;=الإعدادات!$B$7,IF(AND(X220&lt;&gt;"",X220&lt;0),"رابحة — حدّث الإبداعات لرفع CTR","رابحة — حافظ وحسّن"),"تحت التعادل — حسّن الصفحة/العرض أو أوقف"))))))</f>
        <v/>
      </c>
    </row>
    <row r="221" customFormat="false" ht="15" hidden="false" customHeight="false" outlineLevel="0" collapsed="false">
      <c r="A221" s="14"/>
      <c r="B221" s="14"/>
      <c r="C221" s="14"/>
      <c r="D221" s="14"/>
      <c r="E221" s="14"/>
      <c r="F221" s="14"/>
      <c r="G221" s="14"/>
      <c r="H221" s="19"/>
      <c r="I221" s="22"/>
      <c r="J221" s="22"/>
      <c r="K221" s="22"/>
      <c r="L221" s="22"/>
      <c r="M221" s="22"/>
      <c r="N221" s="22"/>
      <c r="O221" s="19"/>
      <c r="P221" s="23" t="str">
        <f aca="false">IF(I221&gt;0,K221/I221,"")</f>
        <v/>
      </c>
      <c r="Q221" s="20" t="str">
        <f aca="false">IF(K221&gt;0,H221/K221,"")</f>
        <v/>
      </c>
      <c r="R221" s="20" t="str">
        <f aca="false">IF(I221&gt;0,H221/I221*1000,"")</f>
        <v/>
      </c>
      <c r="S221" s="23" t="str">
        <f aca="false">IF(K221&gt;0,N221/K221,"")</f>
        <v/>
      </c>
      <c r="T221" s="20" t="str">
        <f aca="false">IF(N221&gt;0,H221/N221,"")</f>
        <v/>
      </c>
      <c r="U221" s="18" t="str">
        <f aca="false">IF(H221&gt;0,O221/H221,"")</f>
        <v/>
      </c>
      <c r="V221" s="20" t="str">
        <f aca="false">IF(N221&gt;0,O221/N221,"")</f>
        <v/>
      </c>
      <c r="W221" s="20" t="str">
        <f aca="false">IF(H221&gt;0,O221*الإعدادات!$B$5-H221,"")</f>
        <v/>
      </c>
      <c r="X221" s="23" t="str">
        <f aca="false">IF(AND(I221&gt;0,A221&lt;&gt;""),P221-IFERROR(INDEX(الإعدادات!$B$15:$B$18,MATCH(A221,الإعدادات!$A$15:$A$18,0)),0),"")</f>
        <v/>
      </c>
      <c r="Y221" s="12" t="str">
        <f aca="false">IF(H221="","",IF(H221&lt;الإعدادات!$B$9,"بيانات غير كافية — انتظر",IF(N221=0,"إيقاف أو إعادة بناء (إنفاق بلا مبيعات)",IF(H221/N221&gt;الإعدادات!$B$8*1.5,"خفض الميزانية + اختبار إبداعات جديدة",IF(O221/H221&gt;=الإعدادات!$B$6*1.2,"توسيع الميزانية تدريجياً",IF(O221/H221&gt;=الإعدادات!$B$7,IF(AND(X221&lt;&gt;"",X221&lt;0),"رابحة — حدّث الإبداعات لرفع CTR","رابحة — حافظ وحسّن"),"تحت التعادل — حسّن الصفحة/العرض أو أوقف"))))))</f>
        <v/>
      </c>
    </row>
    <row r="222" customFormat="false" ht="15" hidden="false" customHeight="false" outlineLevel="0" collapsed="false">
      <c r="A222" s="14"/>
      <c r="B222" s="14"/>
      <c r="C222" s="14"/>
      <c r="D222" s="14"/>
      <c r="E222" s="14"/>
      <c r="F222" s="14"/>
      <c r="G222" s="14"/>
      <c r="H222" s="19"/>
      <c r="I222" s="22"/>
      <c r="J222" s="22"/>
      <c r="K222" s="22"/>
      <c r="L222" s="22"/>
      <c r="M222" s="22"/>
      <c r="N222" s="22"/>
      <c r="O222" s="19"/>
      <c r="P222" s="23" t="str">
        <f aca="false">IF(I222&gt;0,K222/I222,"")</f>
        <v/>
      </c>
      <c r="Q222" s="20" t="str">
        <f aca="false">IF(K222&gt;0,H222/K222,"")</f>
        <v/>
      </c>
      <c r="R222" s="20" t="str">
        <f aca="false">IF(I222&gt;0,H222/I222*1000,"")</f>
        <v/>
      </c>
      <c r="S222" s="23" t="str">
        <f aca="false">IF(K222&gt;0,N222/K222,"")</f>
        <v/>
      </c>
      <c r="T222" s="20" t="str">
        <f aca="false">IF(N222&gt;0,H222/N222,"")</f>
        <v/>
      </c>
      <c r="U222" s="18" t="str">
        <f aca="false">IF(H222&gt;0,O222/H222,"")</f>
        <v/>
      </c>
      <c r="V222" s="20" t="str">
        <f aca="false">IF(N222&gt;0,O222/N222,"")</f>
        <v/>
      </c>
      <c r="W222" s="20" t="str">
        <f aca="false">IF(H222&gt;0,O222*الإعدادات!$B$5-H222,"")</f>
        <v/>
      </c>
      <c r="X222" s="23" t="str">
        <f aca="false">IF(AND(I222&gt;0,A222&lt;&gt;""),P222-IFERROR(INDEX(الإعدادات!$B$15:$B$18,MATCH(A222,الإعدادات!$A$15:$A$18,0)),0),"")</f>
        <v/>
      </c>
      <c r="Y222" s="12" t="str">
        <f aca="false">IF(H222="","",IF(H222&lt;الإعدادات!$B$9,"بيانات غير كافية — انتظر",IF(N222=0,"إيقاف أو إعادة بناء (إنفاق بلا مبيعات)",IF(H222/N222&gt;الإعدادات!$B$8*1.5,"خفض الميزانية + اختبار إبداعات جديدة",IF(O222/H222&gt;=الإعدادات!$B$6*1.2,"توسيع الميزانية تدريجياً",IF(O222/H222&gt;=الإعدادات!$B$7,IF(AND(X222&lt;&gt;"",X222&lt;0),"رابحة — حدّث الإبداعات لرفع CTR","رابحة — حافظ وحسّن"),"تحت التعادل — حسّن الصفحة/العرض أو أوقف"))))))</f>
        <v/>
      </c>
    </row>
    <row r="223" customFormat="false" ht="15" hidden="false" customHeight="false" outlineLevel="0" collapsed="false">
      <c r="A223" s="14"/>
      <c r="B223" s="14"/>
      <c r="C223" s="14"/>
      <c r="D223" s="14"/>
      <c r="E223" s="14"/>
      <c r="F223" s="14"/>
      <c r="G223" s="14"/>
      <c r="H223" s="19"/>
      <c r="I223" s="22"/>
      <c r="J223" s="22"/>
      <c r="K223" s="22"/>
      <c r="L223" s="22"/>
      <c r="M223" s="22"/>
      <c r="N223" s="22"/>
      <c r="O223" s="19"/>
      <c r="P223" s="23" t="str">
        <f aca="false">IF(I223&gt;0,K223/I223,"")</f>
        <v/>
      </c>
      <c r="Q223" s="20" t="str">
        <f aca="false">IF(K223&gt;0,H223/K223,"")</f>
        <v/>
      </c>
      <c r="R223" s="20" t="str">
        <f aca="false">IF(I223&gt;0,H223/I223*1000,"")</f>
        <v/>
      </c>
      <c r="S223" s="23" t="str">
        <f aca="false">IF(K223&gt;0,N223/K223,"")</f>
        <v/>
      </c>
      <c r="T223" s="20" t="str">
        <f aca="false">IF(N223&gt;0,H223/N223,"")</f>
        <v/>
      </c>
      <c r="U223" s="18" t="str">
        <f aca="false">IF(H223&gt;0,O223/H223,"")</f>
        <v/>
      </c>
      <c r="V223" s="20" t="str">
        <f aca="false">IF(N223&gt;0,O223/N223,"")</f>
        <v/>
      </c>
      <c r="W223" s="20" t="str">
        <f aca="false">IF(H223&gt;0,O223*الإعدادات!$B$5-H223,"")</f>
        <v/>
      </c>
      <c r="X223" s="23" t="str">
        <f aca="false">IF(AND(I223&gt;0,A223&lt;&gt;""),P223-IFERROR(INDEX(الإعدادات!$B$15:$B$18,MATCH(A223,الإعدادات!$A$15:$A$18,0)),0),"")</f>
        <v/>
      </c>
      <c r="Y223" s="12" t="str">
        <f aca="false">IF(H223="","",IF(H223&lt;الإعدادات!$B$9,"بيانات غير كافية — انتظر",IF(N223=0,"إيقاف أو إعادة بناء (إنفاق بلا مبيعات)",IF(H223/N223&gt;الإعدادات!$B$8*1.5,"خفض الميزانية + اختبار إبداعات جديدة",IF(O223/H223&gt;=الإعدادات!$B$6*1.2,"توسيع الميزانية تدريجياً",IF(O223/H223&gt;=الإعدادات!$B$7,IF(AND(X223&lt;&gt;"",X223&lt;0),"رابحة — حدّث الإبداعات لرفع CTR","رابحة — حافظ وحسّن"),"تحت التعادل — حسّن الصفحة/العرض أو أوقف"))))))</f>
        <v/>
      </c>
    </row>
    <row r="224" customFormat="false" ht="15" hidden="false" customHeight="false" outlineLevel="0" collapsed="false">
      <c r="A224" s="14"/>
      <c r="B224" s="14"/>
      <c r="C224" s="14"/>
      <c r="D224" s="14"/>
      <c r="E224" s="14"/>
      <c r="F224" s="14"/>
      <c r="G224" s="14"/>
      <c r="H224" s="19"/>
      <c r="I224" s="22"/>
      <c r="J224" s="22"/>
      <c r="K224" s="22"/>
      <c r="L224" s="22"/>
      <c r="M224" s="22"/>
      <c r="N224" s="22"/>
      <c r="O224" s="19"/>
      <c r="P224" s="23" t="str">
        <f aca="false">IF(I224&gt;0,K224/I224,"")</f>
        <v/>
      </c>
      <c r="Q224" s="20" t="str">
        <f aca="false">IF(K224&gt;0,H224/K224,"")</f>
        <v/>
      </c>
      <c r="R224" s="20" t="str">
        <f aca="false">IF(I224&gt;0,H224/I224*1000,"")</f>
        <v/>
      </c>
      <c r="S224" s="23" t="str">
        <f aca="false">IF(K224&gt;0,N224/K224,"")</f>
        <v/>
      </c>
      <c r="T224" s="20" t="str">
        <f aca="false">IF(N224&gt;0,H224/N224,"")</f>
        <v/>
      </c>
      <c r="U224" s="18" t="str">
        <f aca="false">IF(H224&gt;0,O224/H224,"")</f>
        <v/>
      </c>
      <c r="V224" s="20" t="str">
        <f aca="false">IF(N224&gt;0,O224/N224,"")</f>
        <v/>
      </c>
      <c r="W224" s="20" t="str">
        <f aca="false">IF(H224&gt;0,O224*الإعدادات!$B$5-H224,"")</f>
        <v/>
      </c>
      <c r="X224" s="23" t="str">
        <f aca="false">IF(AND(I224&gt;0,A224&lt;&gt;""),P224-IFERROR(INDEX(الإعدادات!$B$15:$B$18,MATCH(A224,الإعدادات!$A$15:$A$18,0)),0),"")</f>
        <v/>
      </c>
      <c r="Y224" s="12" t="str">
        <f aca="false">IF(H224="","",IF(H224&lt;الإعدادات!$B$9,"بيانات غير كافية — انتظر",IF(N224=0,"إيقاف أو إعادة بناء (إنفاق بلا مبيعات)",IF(H224/N224&gt;الإعدادات!$B$8*1.5,"خفض الميزانية + اختبار إبداعات جديدة",IF(O224/H224&gt;=الإعدادات!$B$6*1.2,"توسيع الميزانية تدريجياً",IF(O224/H224&gt;=الإعدادات!$B$7,IF(AND(X224&lt;&gt;"",X224&lt;0),"رابحة — حدّث الإبداعات لرفع CTR","رابحة — حافظ وحسّن"),"تحت التعادل — حسّن الصفحة/العرض أو أوقف"))))))</f>
        <v/>
      </c>
    </row>
    <row r="225" customFormat="false" ht="15" hidden="false" customHeight="false" outlineLevel="0" collapsed="false">
      <c r="A225" s="14"/>
      <c r="B225" s="14"/>
      <c r="C225" s="14"/>
      <c r="D225" s="14"/>
      <c r="E225" s="14"/>
      <c r="F225" s="14"/>
      <c r="G225" s="14"/>
      <c r="H225" s="19"/>
      <c r="I225" s="22"/>
      <c r="J225" s="22"/>
      <c r="K225" s="22"/>
      <c r="L225" s="22"/>
      <c r="M225" s="22"/>
      <c r="N225" s="22"/>
      <c r="O225" s="19"/>
      <c r="P225" s="23" t="str">
        <f aca="false">IF(I225&gt;0,K225/I225,"")</f>
        <v/>
      </c>
      <c r="Q225" s="20" t="str">
        <f aca="false">IF(K225&gt;0,H225/K225,"")</f>
        <v/>
      </c>
      <c r="R225" s="20" t="str">
        <f aca="false">IF(I225&gt;0,H225/I225*1000,"")</f>
        <v/>
      </c>
      <c r="S225" s="23" t="str">
        <f aca="false">IF(K225&gt;0,N225/K225,"")</f>
        <v/>
      </c>
      <c r="T225" s="20" t="str">
        <f aca="false">IF(N225&gt;0,H225/N225,"")</f>
        <v/>
      </c>
      <c r="U225" s="18" t="str">
        <f aca="false">IF(H225&gt;0,O225/H225,"")</f>
        <v/>
      </c>
      <c r="V225" s="20" t="str">
        <f aca="false">IF(N225&gt;0,O225/N225,"")</f>
        <v/>
      </c>
      <c r="W225" s="20" t="str">
        <f aca="false">IF(H225&gt;0,O225*الإعدادات!$B$5-H225,"")</f>
        <v/>
      </c>
      <c r="X225" s="23" t="str">
        <f aca="false">IF(AND(I225&gt;0,A225&lt;&gt;""),P225-IFERROR(INDEX(الإعدادات!$B$15:$B$18,MATCH(A225,الإعدادات!$A$15:$A$18,0)),0),"")</f>
        <v/>
      </c>
      <c r="Y225" s="12" t="str">
        <f aca="false">IF(H225="","",IF(H225&lt;الإعدادات!$B$9,"بيانات غير كافية — انتظر",IF(N225=0,"إيقاف أو إعادة بناء (إنفاق بلا مبيعات)",IF(H225/N225&gt;الإعدادات!$B$8*1.5,"خفض الميزانية + اختبار إبداعات جديدة",IF(O225/H225&gt;=الإعدادات!$B$6*1.2,"توسيع الميزانية تدريجياً",IF(O225/H225&gt;=الإعدادات!$B$7,IF(AND(X225&lt;&gt;"",X225&lt;0),"رابحة — حدّث الإبداعات لرفع CTR","رابحة — حافظ وحسّن"),"تحت التعادل — حسّن الصفحة/العرض أو أوقف"))))))</f>
        <v/>
      </c>
    </row>
    <row r="226" customFormat="false" ht="15" hidden="false" customHeight="false" outlineLevel="0" collapsed="false">
      <c r="A226" s="14"/>
      <c r="B226" s="14"/>
      <c r="C226" s="14"/>
      <c r="D226" s="14"/>
      <c r="E226" s="14"/>
      <c r="F226" s="14"/>
      <c r="G226" s="14"/>
      <c r="H226" s="19"/>
      <c r="I226" s="22"/>
      <c r="J226" s="22"/>
      <c r="K226" s="22"/>
      <c r="L226" s="22"/>
      <c r="M226" s="22"/>
      <c r="N226" s="22"/>
      <c r="O226" s="19"/>
      <c r="P226" s="23" t="str">
        <f aca="false">IF(I226&gt;0,K226/I226,"")</f>
        <v/>
      </c>
      <c r="Q226" s="20" t="str">
        <f aca="false">IF(K226&gt;0,H226/K226,"")</f>
        <v/>
      </c>
      <c r="R226" s="20" t="str">
        <f aca="false">IF(I226&gt;0,H226/I226*1000,"")</f>
        <v/>
      </c>
      <c r="S226" s="23" t="str">
        <f aca="false">IF(K226&gt;0,N226/K226,"")</f>
        <v/>
      </c>
      <c r="T226" s="20" t="str">
        <f aca="false">IF(N226&gt;0,H226/N226,"")</f>
        <v/>
      </c>
      <c r="U226" s="18" t="str">
        <f aca="false">IF(H226&gt;0,O226/H226,"")</f>
        <v/>
      </c>
      <c r="V226" s="20" t="str">
        <f aca="false">IF(N226&gt;0,O226/N226,"")</f>
        <v/>
      </c>
      <c r="W226" s="20" t="str">
        <f aca="false">IF(H226&gt;0,O226*الإعدادات!$B$5-H226,"")</f>
        <v/>
      </c>
      <c r="X226" s="23" t="str">
        <f aca="false">IF(AND(I226&gt;0,A226&lt;&gt;""),P226-IFERROR(INDEX(الإعدادات!$B$15:$B$18,MATCH(A226,الإعدادات!$A$15:$A$18,0)),0),"")</f>
        <v/>
      </c>
      <c r="Y226" s="12" t="str">
        <f aca="false">IF(H226="","",IF(H226&lt;الإعدادات!$B$9,"بيانات غير كافية — انتظر",IF(N226=0,"إيقاف أو إعادة بناء (إنفاق بلا مبيعات)",IF(H226/N226&gt;الإعدادات!$B$8*1.5,"خفض الميزانية + اختبار إبداعات جديدة",IF(O226/H226&gt;=الإعدادات!$B$6*1.2,"توسيع الميزانية تدريجياً",IF(O226/H226&gt;=الإعدادات!$B$7,IF(AND(X226&lt;&gt;"",X226&lt;0),"رابحة — حدّث الإبداعات لرفع CTR","رابحة — حافظ وحسّن"),"تحت التعادل — حسّن الصفحة/العرض أو أوقف"))))))</f>
        <v/>
      </c>
    </row>
    <row r="227" customFormat="false" ht="15" hidden="false" customHeight="false" outlineLevel="0" collapsed="false">
      <c r="A227" s="14"/>
      <c r="B227" s="14"/>
      <c r="C227" s="14"/>
      <c r="D227" s="14"/>
      <c r="E227" s="14"/>
      <c r="F227" s="14"/>
      <c r="G227" s="14"/>
      <c r="H227" s="19"/>
      <c r="I227" s="22"/>
      <c r="J227" s="22"/>
      <c r="K227" s="22"/>
      <c r="L227" s="22"/>
      <c r="M227" s="22"/>
      <c r="N227" s="22"/>
      <c r="O227" s="19"/>
      <c r="P227" s="23" t="str">
        <f aca="false">IF(I227&gt;0,K227/I227,"")</f>
        <v/>
      </c>
      <c r="Q227" s="20" t="str">
        <f aca="false">IF(K227&gt;0,H227/K227,"")</f>
        <v/>
      </c>
      <c r="R227" s="20" t="str">
        <f aca="false">IF(I227&gt;0,H227/I227*1000,"")</f>
        <v/>
      </c>
      <c r="S227" s="23" t="str">
        <f aca="false">IF(K227&gt;0,N227/K227,"")</f>
        <v/>
      </c>
      <c r="T227" s="20" t="str">
        <f aca="false">IF(N227&gt;0,H227/N227,"")</f>
        <v/>
      </c>
      <c r="U227" s="18" t="str">
        <f aca="false">IF(H227&gt;0,O227/H227,"")</f>
        <v/>
      </c>
      <c r="V227" s="20" t="str">
        <f aca="false">IF(N227&gt;0,O227/N227,"")</f>
        <v/>
      </c>
      <c r="W227" s="20" t="str">
        <f aca="false">IF(H227&gt;0,O227*الإعدادات!$B$5-H227,"")</f>
        <v/>
      </c>
      <c r="X227" s="23" t="str">
        <f aca="false">IF(AND(I227&gt;0,A227&lt;&gt;""),P227-IFERROR(INDEX(الإعدادات!$B$15:$B$18,MATCH(A227,الإعدادات!$A$15:$A$18,0)),0),"")</f>
        <v/>
      </c>
      <c r="Y227" s="12" t="str">
        <f aca="false">IF(H227="","",IF(H227&lt;الإعدادات!$B$9,"بيانات غير كافية — انتظر",IF(N227=0,"إيقاف أو إعادة بناء (إنفاق بلا مبيعات)",IF(H227/N227&gt;الإعدادات!$B$8*1.5,"خفض الميزانية + اختبار إبداعات جديدة",IF(O227/H227&gt;=الإعدادات!$B$6*1.2,"توسيع الميزانية تدريجياً",IF(O227/H227&gt;=الإعدادات!$B$7,IF(AND(X227&lt;&gt;"",X227&lt;0),"رابحة — حدّث الإبداعات لرفع CTR","رابحة — حافظ وحسّن"),"تحت التعادل — حسّن الصفحة/العرض أو أوقف"))))))</f>
        <v/>
      </c>
    </row>
    <row r="228" customFormat="false" ht="15" hidden="false" customHeight="false" outlineLevel="0" collapsed="false">
      <c r="A228" s="14"/>
      <c r="B228" s="14"/>
      <c r="C228" s="14"/>
      <c r="D228" s="14"/>
      <c r="E228" s="14"/>
      <c r="F228" s="14"/>
      <c r="G228" s="14"/>
      <c r="H228" s="19"/>
      <c r="I228" s="22"/>
      <c r="J228" s="22"/>
      <c r="K228" s="22"/>
      <c r="L228" s="22"/>
      <c r="M228" s="22"/>
      <c r="N228" s="22"/>
      <c r="O228" s="19"/>
      <c r="P228" s="23" t="str">
        <f aca="false">IF(I228&gt;0,K228/I228,"")</f>
        <v/>
      </c>
      <c r="Q228" s="20" t="str">
        <f aca="false">IF(K228&gt;0,H228/K228,"")</f>
        <v/>
      </c>
      <c r="R228" s="20" t="str">
        <f aca="false">IF(I228&gt;0,H228/I228*1000,"")</f>
        <v/>
      </c>
      <c r="S228" s="23" t="str">
        <f aca="false">IF(K228&gt;0,N228/K228,"")</f>
        <v/>
      </c>
      <c r="T228" s="20" t="str">
        <f aca="false">IF(N228&gt;0,H228/N228,"")</f>
        <v/>
      </c>
      <c r="U228" s="18" t="str">
        <f aca="false">IF(H228&gt;0,O228/H228,"")</f>
        <v/>
      </c>
      <c r="V228" s="20" t="str">
        <f aca="false">IF(N228&gt;0,O228/N228,"")</f>
        <v/>
      </c>
      <c r="W228" s="20" t="str">
        <f aca="false">IF(H228&gt;0,O228*الإعدادات!$B$5-H228,"")</f>
        <v/>
      </c>
      <c r="X228" s="23" t="str">
        <f aca="false">IF(AND(I228&gt;0,A228&lt;&gt;""),P228-IFERROR(INDEX(الإعدادات!$B$15:$B$18,MATCH(A228,الإعدادات!$A$15:$A$18,0)),0),"")</f>
        <v/>
      </c>
      <c r="Y228" s="12" t="str">
        <f aca="false">IF(H228="","",IF(H228&lt;الإعدادات!$B$9,"بيانات غير كافية — انتظر",IF(N228=0,"إيقاف أو إعادة بناء (إنفاق بلا مبيعات)",IF(H228/N228&gt;الإعدادات!$B$8*1.5,"خفض الميزانية + اختبار إبداعات جديدة",IF(O228/H228&gt;=الإعدادات!$B$6*1.2,"توسيع الميزانية تدريجياً",IF(O228/H228&gt;=الإعدادات!$B$7,IF(AND(X228&lt;&gt;"",X228&lt;0),"رابحة — حدّث الإبداعات لرفع CTR","رابحة — حافظ وحسّن"),"تحت التعادل — حسّن الصفحة/العرض أو أوقف"))))))</f>
        <v/>
      </c>
    </row>
    <row r="229" customFormat="false" ht="15" hidden="false" customHeight="false" outlineLevel="0" collapsed="false">
      <c r="A229" s="14"/>
      <c r="B229" s="14"/>
      <c r="C229" s="14"/>
      <c r="D229" s="14"/>
      <c r="E229" s="14"/>
      <c r="F229" s="14"/>
      <c r="G229" s="14"/>
      <c r="H229" s="19"/>
      <c r="I229" s="22"/>
      <c r="J229" s="22"/>
      <c r="K229" s="22"/>
      <c r="L229" s="22"/>
      <c r="M229" s="22"/>
      <c r="N229" s="22"/>
      <c r="O229" s="19"/>
      <c r="P229" s="23" t="str">
        <f aca="false">IF(I229&gt;0,K229/I229,"")</f>
        <v/>
      </c>
      <c r="Q229" s="20" t="str">
        <f aca="false">IF(K229&gt;0,H229/K229,"")</f>
        <v/>
      </c>
      <c r="R229" s="20" t="str">
        <f aca="false">IF(I229&gt;0,H229/I229*1000,"")</f>
        <v/>
      </c>
      <c r="S229" s="23" t="str">
        <f aca="false">IF(K229&gt;0,N229/K229,"")</f>
        <v/>
      </c>
      <c r="T229" s="20" t="str">
        <f aca="false">IF(N229&gt;0,H229/N229,"")</f>
        <v/>
      </c>
      <c r="U229" s="18" t="str">
        <f aca="false">IF(H229&gt;0,O229/H229,"")</f>
        <v/>
      </c>
      <c r="V229" s="20" t="str">
        <f aca="false">IF(N229&gt;0,O229/N229,"")</f>
        <v/>
      </c>
      <c r="W229" s="20" t="str">
        <f aca="false">IF(H229&gt;0,O229*الإعدادات!$B$5-H229,"")</f>
        <v/>
      </c>
      <c r="X229" s="23" t="str">
        <f aca="false">IF(AND(I229&gt;0,A229&lt;&gt;""),P229-IFERROR(INDEX(الإعدادات!$B$15:$B$18,MATCH(A229,الإعدادات!$A$15:$A$18,0)),0),"")</f>
        <v/>
      </c>
      <c r="Y229" s="12" t="str">
        <f aca="false">IF(H229="","",IF(H229&lt;الإعدادات!$B$9,"بيانات غير كافية — انتظر",IF(N229=0,"إيقاف أو إعادة بناء (إنفاق بلا مبيعات)",IF(H229/N229&gt;الإعدادات!$B$8*1.5,"خفض الميزانية + اختبار إبداعات جديدة",IF(O229/H229&gt;=الإعدادات!$B$6*1.2,"توسيع الميزانية تدريجياً",IF(O229/H229&gt;=الإعدادات!$B$7,IF(AND(X229&lt;&gt;"",X229&lt;0),"رابحة — حدّث الإبداعات لرفع CTR","رابحة — حافظ وحسّن"),"تحت التعادل — حسّن الصفحة/العرض أو أوقف"))))))</f>
        <v/>
      </c>
    </row>
    <row r="230" customFormat="false" ht="15" hidden="false" customHeight="false" outlineLevel="0" collapsed="false">
      <c r="A230" s="14"/>
      <c r="B230" s="14"/>
      <c r="C230" s="14"/>
      <c r="D230" s="14"/>
      <c r="E230" s="14"/>
      <c r="F230" s="14"/>
      <c r="G230" s="14"/>
      <c r="H230" s="19"/>
      <c r="I230" s="22"/>
      <c r="J230" s="22"/>
      <c r="K230" s="22"/>
      <c r="L230" s="22"/>
      <c r="M230" s="22"/>
      <c r="N230" s="22"/>
      <c r="O230" s="19"/>
      <c r="P230" s="23" t="str">
        <f aca="false">IF(I230&gt;0,K230/I230,"")</f>
        <v/>
      </c>
      <c r="Q230" s="20" t="str">
        <f aca="false">IF(K230&gt;0,H230/K230,"")</f>
        <v/>
      </c>
      <c r="R230" s="20" t="str">
        <f aca="false">IF(I230&gt;0,H230/I230*1000,"")</f>
        <v/>
      </c>
      <c r="S230" s="23" t="str">
        <f aca="false">IF(K230&gt;0,N230/K230,"")</f>
        <v/>
      </c>
      <c r="T230" s="20" t="str">
        <f aca="false">IF(N230&gt;0,H230/N230,"")</f>
        <v/>
      </c>
      <c r="U230" s="18" t="str">
        <f aca="false">IF(H230&gt;0,O230/H230,"")</f>
        <v/>
      </c>
      <c r="V230" s="20" t="str">
        <f aca="false">IF(N230&gt;0,O230/N230,"")</f>
        <v/>
      </c>
      <c r="W230" s="20" t="str">
        <f aca="false">IF(H230&gt;0,O230*الإعدادات!$B$5-H230,"")</f>
        <v/>
      </c>
      <c r="X230" s="23" t="str">
        <f aca="false">IF(AND(I230&gt;0,A230&lt;&gt;""),P230-IFERROR(INDEX(الإعدادات!$B$15:$B$18,MATCH(A230,الإعدادات!$A$15:$A$18,0)),0),"")</f>
        <v/>
      </c>
      <c r="Y230" s="12" t="str">
        <f aca="false">IF(H230="","",IF(H230&lt;الإعدادات!$B$9,"بيانات غير كافية — انتظر",IF(N230=0,"إيقاف أو إعادة بناء (إنفاق بلا مبيعات)",IF(H230/N230&gt;الإعدادات!$B$8*1.5,"خفض الميزانية + اختبار إبداعات جديدة",IF(O230/H230&gt;=الإعدادات!$B$6*1.2,"توسيع الميزانية تدريجياً",IF(O230/H230&gt;=الإعدادات!$B$7,IF(AND(X230&lt;&gt;"",X230&lt;0),"رابحة — حدّث الإبداعات لرفع CTR","رابحة — حافظ وحسّن"),"تحت التعادل — حسّن الصفحة/العرض أو أوقف"))))))</f>
        <v/>
      </c>
    </row>
    <row r="231" customFormat="false" ht="15" hidden="false" customHeight="false" outlineLevel="0" collapsed="false">
      <c r="A231" s="14"/>
      <c r="B231" s="14"/>
      <c r="C231" s="14"/>
      <c r="D231" s="14"/>
      <c r="E231" s="14"/>
      <c r="F231" s="14"/>
      <c r="G231" s="14"/>
      <c r="H231" s="19"/>
      <c r="I231" s="22"/>
      <c r="J231" s="22"/>
      <c r="K231" s="22"/>
      <c r="L231" s="22"/>
      <c r="M231" s="22"/>
      <c r="N231" s="22"/>
      <c r="O231" s="19"/>
      <c r="P231" s="23" t="str">
        <f aca="false">IF(I231&gt;0,K231/I231,"")</f>
        <v/>
      </c>
      <c r="Q231" s="20" t="str">
        <f aca="false">IF(K231&gt;0,H231/K231,"")</f>
        <v/>
      </c>
      <c r="R231" s="20" t="str">
        <f aca="false">IF(I231&gt;0,H231/I231*1000,"")</f>
        <v/>
      </c>
      <c r="S231" s="23" t="str">
        <f aca="false">IF(K231&gt;0,N231/K231,"")</f>
        <v/>
      </c>
      <c r="T231" s="20" t="str">
        <f aca="false">IF(N231&gt;0,H231/N231,"")</f>
        <v/>
      </c>
      <c r="U231" s="18" t="str">
        <f aca="false">IF(H231&gt;0,O231/H231,"")</f>
        <v/>
      </c>
      <c r="V231" s="20" t="str">
        <f aca="false">IF(N231&gt;0,O231/N231,"")</f>
        <v/>
      </c>
      <c r="W231" s="20" t="str">
        <f aca="false">IF(H231&gt;0,O231*الإعدادات!$B$5-H231,"")</f>
        <v/>
      </c>
      <c r="X231" s="23" t="str">
        <f aca="false">IF(AND(I231&gt;0,A231&lt;&gt;""),P231-IFERROR(INDEX(الإعدادات!$B$15:$B$18,MATCH(A231,الإعدادات!$A$15:$A$18,0)),0),"")</f>
        <v/>
      </c>
      <c r="Y231" s="12" t="str">
        <f aca="false">IF(H231="","",IF(H231&lt;الإعدادات!$B$9,"بيانات غير كافية — انتظر",IF(N231=0,"إيقاف أو إعادة بناء (إنفاق بلا مبيعات)",IF(H231/N231&gt;الإعدادات!$B$8*1.5,"خفض الميزانية + اختبار إبداعات جديدة",IF(O231/H231&gt;=الإعدادات!$B$6*1.2,"توسيع الميزانية تدريجياً",IF(O231/H231&gt;=الإعدادات!$B$7,IF(AND(X231&lt;&gt;"",X231&lt;0),"رابحة — حدّث الإبداعات لرفع CTR","رابحة — حافظ وحسّن"),"تحت التعادل — حسّن الصفحة/العرض أو أوقف"))))))</f>
        <v/>
      </c>
    </row>
    <row r="232" customFormat="false" ht="15" hidden="false" customHeight="false" outlineLevel="0" collapsed="false">
      <c r="A232" s="14"/>
      <c r="B232" s="14"/>
      <c r="C232" s="14"/>
      <c r="D232" s="14"/>
      <c r="E232" s="14"/>
      <c r="F232" s="14"/>
      <c r="G232" s="14"/>
      <c r="H232" s="19"/>
      <c r="I232" s="22"/>
      <c r="J232" s="22"/>
      <c r="K232" s="22"/>
      <c r="L232" s="22"/>
      <c r="M232" s="22"/>
      <c r="N232" s="22"/>
      <c r="O232" s="19"/>
      <c r="P232" s="23" t="str">
        <f aca="false">IF(I232&gt;0,K232/I232,"")</f>
        <v/>
      </c>
      <c r="Q232" s="20" t="str">
        <f aca="false">IF(K232&gt;0,H232/K232,"")</f>
        <v/>
      </c>
      <c r="R232" s="20" t="str">
        <f aca="false">IF(I232&gt;0,H232/I232*1000,"")</f>
        <v/>
      </c>
      <c r="S232" s="23" t="str">
        <f aca="false">IF(K232&gt;0,N232/K232,"")</f>
        <v/>
      </c>
      <c r="T232" s="20" t="str">
        <f aca="false">IF(N232&gt;0,H232/N232,"")</f>
        <v/>
      </c>
      <c r="U232" s="18" t="str">
        <f aca="false">IF(H232&gt;0,O232/H232,"")</f>
        <v/>
      </c>
      <c r="V232" s="20" t="str">
        <f aca="false">IF(N232&gt;0,O232/N232,"")</f>
        <v/>
      </c>
      <c r="W232" s="20" t="str">
        <f aca="false">IF(H232&gt;0,O232*الإعدادات!$B$5-H232,"")</f>
        <v/>
      </c>
      <c r="X232" s="23" t="str">
        <f aca="false">IF(AND(I232&gt;0,A232&lt;&gt;""),P232-IFERROR(INDEX(الإعدادات!$B$15:$B$18,MATCH(A232,الإعدادات!$A$15:$A$18,0)),0),"")</f>
        <v/>
      </c>
      <c r="Y232" s="12" t="str">
        <f aca="false">IF(H232="","",IF(H232&lt;الإعدادات!$B$9,"بيانات غير كافية — انتظر",IF(N232=0,"إيقاف أو إعادة بناء (إنفاق بلا مبيعات)",IF(H232/N232&gt;الإعدادات!$B$8*1.5,"خفض الميزانية + اختبار إبداعات جديدة",IF(O232/H232&gt;=الإعدادات!$B$6*1.2,"توسيع الميزانية تدريجياً",IF(O232/H232&gt;=الإعدادات!$B$7,IF(AND(X232&lt;&gt;"",X232&lt;0),"رابحة — حدّث الإبداعات لرفع CTR","رابحة — حافظ وحسّن"),"تحت التعادل — حسّن الصفحة/العرض أو أوقف"))))))</f>
        <v/>
      </c>
    </row>
    <row r="233" customFormat="false" ht="15" hidden="false" customHeight="false" outlineLevel="0" collapsed="false">
      <c r="A233" s="14"/>
      <c r="B233" s="14"/>
      <c r="C233" s="14"/>
      <c r="D233" s="14"/>
      <c r="E233" s="14"/>
      <c r="F233" s="14"/>
      <c r="G233" s="14"/>
      <c r="H233" s="19"/>
      <c r="I233" s="22"/>
      <c r="J233" s="22"/>
      <c r="K233" s="22"/>
      <c r="L233" s="22"/>
      <c r="M233" s="22"/>
      <c r="N233" s="22"/>
      <c r="O233" s="19"/>
      <c r="P233" s="23" t="str">
        <f aca="false">IF(I233&gt;0,K233/I233,"")</f>
        <v/>
      </c>
      <c r="Q233" s="20" t="str">
        <f aca="false">IF(K233&gt;0,H233/K233,"")</f>
        <v/>
      </c>
      <c r="R233" s="20" t="str">
        <f aca="false">IF(I233&gt;0,H233/I233*1000,"")</f>
        <v/>
      </c>
      <c r="S233" s="23" t="str">
        <f aca="false">IF(K233&gt;0,N233/K233,"")</f>
        <v/>
      </c>
      <c r="T233" s="20" t="str">
        <f aca="false">IF(N233&gt;0,H233/N233,"")</f>
        <v/>
      </c>
      <c r="U233" s="18" t="str">
        <f aca="false">IF(H233&gt;0,O233/H233,"")</f>
        <v/>
      </c>
      <c r="V233" s="20" t="str">
        <f aca="false">IF(N233&gt;0,O233/N233,"")</f>
        <v/>
      </c>
      <c r="W233" s="20" t="str">
        <f aca="false">IF(H233&gt;0,O233*الإعدادات!$B$5-H233,"")</f>
        <v/>
      </c>
      <c r="X233" s="23" t="str">
        <f aca="false">IF(AND(I233&gt;0,A233&lt;&gt;""),P233-IFERROR(INDEX(الإعدادات!$B$15:$B$18,MATCH(A233,الإعدادات!$A$15:$A$18,0)),0),"")</f>
        <v/>
      </c>
      <c r="Y233" s="12" t="str">
        <f aca="false">IF(H233="","",IF(H233&lt;الإعدادات!$B$9,"بيانات غير كافية — انتظر",IF(N233=0,"إيقاف أو إعادة بناء (إنفاق بلا مبيعات)",IF(H233/N233&gt;الإعدادات!$B$8*1.5,"خفض الميزانية + اختبار إبداعات جديدة",IF(O233/H233&gt;=الإعدادات!$B$6*1.2,"توسيع الميزانية تدريجياً",IF(O233/H233&gt;=الإعدادات!$B$7,IF(AND(X233&lt;&gt;"",X233&lt;0),"رابحة — حدّث الإبداعات لرفع CTR","رابحة — حافظ وحسّن"),"تحت التعادل — حسّن الصفحة/العرض أو أوقف"))))))</f>
        <v/>
      </c>
    </row>
    <row r="234" customFormat="false" ht="15" hidden="false" customHeight="false" outlineLevel="0" collapsed="false">
      <c r="A234" s="14"/>
      <c r="B234" s="14"/>
      <c r="C234" s="14"/>
      <c r="D234" s="14"/>
      <c r="E234" s="14"/>
      <c r="F234" s="14"/>
      <c r="G234" s="14"/>
      <c r="H234" s="19"/>
      <c r="I234" s="22"/>
      <c r="J234" s="22"/>
      <c r="K234" s="22"/>
      <c r="L234" s="22"/>
      <c r="M234" s="22"/>
      <c r="N234" s="22"/>
      <c r="O234" s="19"/>
      <c r="P234" s="23" t="str">
        <f aca="false">IF(I234&gt;0,K234/I234,"")</f>
        <v/>
      </c>
      <c r="Q234" s="20" t="str">
        <f aca="false">IF(K234&gt;0,H234/K234,"")</f>
        <v/>
      </c>
      <c r="R234" s="20" t="str">
        <f aca="false">IF(I234&gt;0,H234/I234*1000,"")</f>
        <v/>
      </c>
      <c r="S234" s="23" t="str">
        <f aca="false">IF(K234&gt;0,N234/K234,"")</f>
        <v/>
      </c>
      <c r="T234" s="20" t="str">
        <f aca="false">IF(N234&gt;0,H234/N234,"")</f>
        <v/>
      </c>
      <c r="U234" s="18" t="str">
        <f aca="false">IF(H234&gt;0,O234/H234,"")</f>
        <v/>
      </c>
      <c r="V234" s="20" t="str">
        <f aca="false">IF(N234&gt;0,O234/N234,"")</f>
        <v/>
      </c>
      <c r="W234" s="20" t="str">
        <f aca="false">IF(H234&gt;0,O234*الإعدادات!$B$5-H234,"")</f>
        <v/>
      </c>
      <c r="X234" s="23" t="str">
        <f aca="false">IF(AND(I234&gt;0,A234&lt;&gt;""),P234-IFERROR(INDEX(الإعدادات!$B$15:$B$18,MATCH(A234,الإعدادات!$A$15:$A$18,0)),0),"")</f>
        <v/>
      </c>
      <c r="Y234" s="12" t="str">
        <f aca="false">IF(H234="","",IF(H234&lt;الإعدادات!$B$9,"بيانات غير كافية — انتظر",IF(N234=0,"إيقاف أو إعادة بناء (إنفاق بلا مبيعات)",IF(H234/N234&gt;الإعدادات!$B$8*1.5,"خفض الميزانية + اختبار إبداعات جديدة",IF(O234/H234&gt;=الإعدادات!$B$6*1.2,"توسيع الميزانية تدريجياً",IF(O234/H234&gt;=الإعدادات!$B$7,IF(AND(X234&lt;&gt;"",X234&lt;0),"رابحة — حدّث الإبداعات لرفع CTR","رابحة — حافظ وحسّن"),"تحت التعادل — حسّن الصفحة/العرض أو أوقف"))))))</f>
        <v/>
      </c>
    </row>
    <row r="235" customFormat="false" ht="15" hidden="false" customHeight="false" outlineLevel="0" collapsed="false">
      <c r="A235" s="14"/>
      <c r="B235" s="14"/>
      <c r="C235" s="14"/>
      <c r="D235" s="14"/>
      <c r="E235" s="14"/>
      <c r="F235" s="14"/>
      <c r="G235" s="14"/>
      <c r="H235" s="19"/>
      <c r="I235" s="22"/>
      <c r="J235" s="22"/>
      <c r="K235" s="22"/>
      <c r="L235" s="22"/>
      <c r="M235" s="22"/>
      <c r="N235" s="22"/>
      <c r="O235" s="19"/>
      <c r="P235" s="23" t="str">
        <f aca="false">IF(I235&gt;0,K235/I235,"")</f>
        <v/>
      </c>
      <c r="Q235" s="20" t="str">
        <f aca="false">IF(K235&gt;0,H235/K235,"")</f>
        <v/>
      </c>
      <c r="R235" s="20" t="str">
        <f aca="false">IF(I235&gt;0,H235/I235*1000,"")</f>
        <v/>
      </c>
      <c r="S235" s="23" t="str">
        <f aca="false">IF(K235&gt;0,N235/K235,"")</f>
        <v/>
      </c>
      <c r="T235" s="20" t="str">
        <f aca="false">IF(N235&gt;0,H235/N235,"")</f>
        <v/>
      </c>
      <c r="U235" s="18" t="str">
        <f aca="false">IF(H235&gt;0,O235/H235,"")</f>
        <v/>
      </c>
      <c r="V235" s="20" t="str">
        <f aca="false">IF(N235&gt;0,O235/N235,"")</f>
        <v/>
      </c>
      <c r="W235" s="20" t="str">
        <f aca="false">IF(H235&gt;0,O235*الإعدادات!$B$5-H235,"")</f>
        <v/>
      </c>
      <c r="X235" s="23" t="str">
        <f aca="false">IF(AND(I235&gt;0,A235&lt;&gt;""),P235-IFERROR(INDEX(الإعدادات!$B$15:$B$18,MATCH(A235,الإعدادات!$A$15:$A$18,0)),0),"")</f>
        <v/>
      </c>
      <c r="Y235" s="12" t="str">
        <f aca="false">IF(H235="","",IF(H235&lt;الإعدادات!$B$9,"بيانات غير كافية — انتظر",IF(N235=0,"إيقاف أو إعادة بناء (إنفاق بلا مبيعات)",IF(H235/N235&gt;الإعدادات!$B$8*1.5,"خفض الميزانية + اختبار إبداعات جديدة",IF(O235/H235&gt;=الإعدادات!$B$6*1.2,"توسيع الميزانية تدريجياً",IF(O235/H235&gt;=الإعدادات!$B$7,IF(AND(X235&lt;&gt;"",X235&lt;0),"رابحة — حدّث الإبداعات لرفع CTR","رابحة — حافظ وحسّن"),"تحت التعادل — حسّن الصفحة/العرض أو أوقف"))))))</f>
        <v/>
      </c>
    </row>
    <row r="236" customFormat="false" ht="15" hidden="false" customHeight="false" outlineLevel="0" collapsed="false">
      <c r="A236" s="14"/>
      <c r="B236" s="14"/>
      <c r="C236" s="14"/>
      <c r="D236" s="14"/>
      <c r="E236" s="14"/>
      <c r="F236" s="14"/>
      <c r="G236" s="14"/>
      <c r="H236" s="19"/>
      <c r="I236" s="22"/>
      <c r="J236" s="22"/>
      <c r="K236" s="22"/>
      <c r="L236" s="22"/>
      <c r="M236" s="22"/>
      <c r="N236" s="22"/>
      <c r="O236" s="19"/>
      <c r="P236" s="23" t="str">
        <f aca="false">IF(I236&gt;0,K236/I236,"")</f>
        <v/>
      </c>
      <c r="Q236" s="20" t="str">
        <f aca="false">IF(K236&gt;0,H236/K236,"")</f>
        <v/>
      </c>
      <c r="R236" s="20" t="str">
        <f aca="false">IF(I236&gt;0,H236/I236*1000,"")</f>
        <v/>
      </c>
      <c r="S236" s="23" t="str">
        <f aca="false">IF(K236&gt;0,N236/K236,"")</f>
        <v/>
      </c>
      <c r="T236" s="20" t="str">
        <f aca="false">IF(N236&gt;0,H236/N236,"")</f>
        <v/>
      </c>
      <c r="U236" s="18" t="str">
        <f aca="false">IF(H236&gt;0,O236/H236,"")</f>
        <v/>
      </c>
      <c r="V236" s="20" t="str">
        <f aca="false">IF(N236&gt;0,O236/N236,"")</f>
        <v/>
      </c>
      <c r="W236" s="20" t="str">
        <f aca="false">IF(H236&gt;0,O236*الإعدادات!$B$5-H236,"")</f>
        <v/>
      </c>
      <c r="X236" s="23" t="str">
        <f aca="false">IF(AND(I236&gt;0,A236&lt;&gt;""),P236-IFERROR(INDEX(الإعدادات!$B$15:$B$18,MATCH(A236,الإعدادات!$A$15:$A$18,0)),0),"")</f>
        <v/>
      </c>
      <c r="Y236" s="12" t="str">
        <f aca="false">IF(H236="","",IF(H236&lt;الإعدادات!$B$9,"بيانات غير كافية — انتظر",IF(N236=0,"إيقاف أو إعادة بناء (إنفاق بلا مبيعات)",IF(H236/N236&gt;الإعدادات!$B$8*1.5,"خفض الميزانية + اختبار إبداعات جديدة",IF(O236/H236&gt;=الإعدادات!$B$6*1.2,"توسيع الميزانية تدريجياً",IF(O236/H236&gt;=الإعدادات!$B$7,IF(AND(X236&lt;&gt;"",X236&lt;0),"رابحة — حدّث الإبداعات لرفع CTR","رابحة — حافظ وحسّن"),"تحت التعادل — حسّن الصفحة/العرض أو أوقف"))))))</f>
        <v/>
      </c>
    </row>
    <row r="237" customFormat="false" ht="15" hidden="false" customHeight="false" outlineLevel="0" collapsed="false">
      <c r="A237" s="14"/>
      <c r="B237" s="14"/>
      <c r="C237" s="14"/>
      <c r="D237" s="14"/>
      <c r="E237" s="14"/>
      <c r="F237" s="14"/>
      <c r="G237" s="14"/>
      <c r="H237" s="19"/>
      <c r="I237" s="22"/>
      <c r="J237" s="22"/>
      <c r="K237" s="22"/>
      <c r="L237" s="22"/>
      <c r="M237" s="22"/>
      <c r="N237" s="22"/>
      <c r="O237" s="19"/>
      <c r="P237" s="23" t="str">
        <f aca="false">IF(I237&gt;0,K237/I237,"")</f>
        <v/>
      </c>
      <c r="Q237" s="20" t="str">
        <f aca="false">IF(K237&gt;0,H237/K237,"")</f>
        <v/>
      </c>
      <c r="R237" s="20" t="str">
        <f aca="false">IF(I237&gt;0,H237/I237*1000,"")</f>
        <v/>
      </c>
      <c r="S237" s="23" t="str">
        <f aca="false">IF(K237&gt;0,N237/K237,"")</f>
        <v/>
      </c>
      <c r="T237" s="20" t="str">
        <f aca="false">IF(N237&gt;0,H237/N237,"")</f>
        <v/>
      </c>
      <c r="U237" s="18" t="str">
        <f aca="false">IF(H237&gt;0,O237/H237,"")</f>
        <v/>
      </c>
      <c r="V237" s="20" t="str">
        <f aca="false">IF(N237&gt;0,O237/N237,"")</f>
        <v/>
      </c>
      <c r="W237" s="20" t="str">
        <f aca="false">IF(H237&gt;0,O237*الإعدادات!$B$5-H237,"")</f>
        <v/>
      </c>
      <c r="X237" s="23" t="str">
        <f aca="false">IF(AND(I237&gt;0,A237&lt;&gt;""),P237-IFERROR(INDEX(الإعدادات!$B$15:$B$18,MATCH(A237,الإعدادات!$A$15:$A$18,0)),0),"")</f>
        <v/>
      </c>
      <c r="Y237" s="12" t="str">
        <f aca="false">IF(H237="","",IF(H237&lt;الإعدادات!$B$9,"بيانات غير كافية — انتظر",IF(N237=0,"إيقاف أو إعادة بناء (إنفاق بلا مبيعات)",IF(H237/N237&gt;الإعدادات!$B$8*1.5,"خفض الميزانية + اختبار إبداعات جديدة",IF(O237/H237&gt;=الإعدادات!$B$6*1.2,"توسيع الميزانية تدريجياً",IF(O237/H237&gt;=الإعدادات!$B$7,IF(AND(X237&lt;&gt;"",X237&lt;0),"رابحة — حدّث الإبداعات لرفع CTR","رابحة — حافظ وحسّن"),"تحت التعادل — حسّن الصفحة/العرض أو أوقف"))))))</f>
        <v/>
      </c>
    </row>
    <row r="238" customFormat="false" ht="15" hidden="false" customHeight="false" outlineLevel="0" collapsed="false">
      <c r="A238" s="14"/>
      <c r="B238" s="14"/>
      <c r="C238" s="14"/>
      <c r="D238" s="14"/>
      <c r="E238" s="14"/>
      <c r="F238" s="14"/>
      <c r="G238" s="14"/>
      <c r="H238" s="19"/>
      <c r="I238" s="22"/>
      <c r="J238" s="22"/>
      <c r="K238" s="22"/>
      <c r="L238" s="22"/>
      <c r="M238" s="22"/>
      <c r="N238" s="22"/>
      <c r="O238" s="19"/>
      <c r="P238" s="23" t="str">
        <f aca="false">IF(I238&gt;0,K238/I238,"")</f>
        <v/>
      </c>
      <c r="Q238" s="20" t="str">
        <f aca="false">IF(K238&gt;0,H238/K238,"")</f>
        <v/>
      </c>
      <c r="R238" s="20" t="str">
        <f aca="false">IF(I238&gt;0,H238/I238*1000,"")</f>
        <v/>
      </c>
      <c r="S238" s="23" t="str">
        <f aca="false">IF(K238&gt;0,N238/K238,"")</f>
        <v/>
      </c>
      <c r="T238" s="20" t="str">
        <f aca="false">IF(N238&gt;0,H238/N238,"")</f>
        <v/>
      </c>
      <c r="U238" s="18" t="str">
        <f aca="false">IF(H238&gt;0,O238/H238,"")</f>
        <v/>
      </c>
      <c r="V238" s="20" t="str">
        <f aca="false">IF(N238&gt;0,O238/N238,"")</f>
        <v/>
      </c>
      <c r="W238" s="20" t="str">
        <f aca="false">IF(H238&gt;0,O238*الإعدادات!$B$5-H238,"")</f>
        <v/>
      </c>
      <c r="X238" s="23" t="str">
        <f aca="false">IF(AND(I238&gt;0,A238&lt;&gt;""),P238-IFERROR(INDEX(الإعدادات!$B$15:$B$18,MATCH(A238,الإعدادات!$A$15:$A$18,0)),0),"")</f>
        <v/>
      </c>
      <c r="Y238" s="12" t="str">
        <f aca="false">IF(H238="","",IF(H238&lt;الإعدادات!$B$9,"بيانات غير كافية — انتظر",IF(N238=0,"إيقاف أو إعادة بناء (إنفاق بلا مبيعات)",IF(H238/N238&gt;الإعدادات!$B$8*1.5,"خفض الميزانية + اختبار إبداعات جديدة",IF(O238/H238&gt;=الإعدادات!$B$6*1.2,"توسيع الميزانية تدريجياً",IF(O238/H238&gt;=الإعدادات!$B$7,IF(AND(X238&lt;&gt;"",X238&lt;0),"رابحة — حدّث الإبداعات لرفع CTR","رابحة — حافظ وحسّن"),"تحت التعادل — حسّن الصفحة/العرض أو أوقف"))))))</f>
        <v/>
      </c>
    </row>
    <row r="239" customFormat="false" ht="15" hidden="false" customHeight="false" outlineLevel="0" collapsed="false">
      <c r="A239" s="14"/>
      <c r="B239" s="14"/>
      <c r="C239" s="14"/>
      <c r="D239" s="14"/>
      <c r="E239" s="14"/>
      <c r="F239" s="14"/>
      <c r="G239" s="14"/>
      <c r="H239" s="19"/>
      <c r="I239" s="22"/>
      <c r="J239" s="22"/>
      <c r="K239" s="22"/>
      <c r="L239" s="22"/>
      <c r="M239" s="22"/>
      <c r="N239" s="22"/>
      <c r="O239" s="19"/>
      <c r="P239" s="23" t="str">
        <f aca="false">IF(I239&gt;0,K239/I239,"")</f>
        <v/>
      </c>
      <c r="Q239" s="20" t="str">
        <f aca="false">IF(K239&gt;0,H239/K239,"")</f>
        <v/>
      </c>
      <c r="R239" s="20" t="str">
        <f aca="false">IF(I239&gt;0,H239/I239*1000,"")</f>
        <v/>
      </c>
      <c r="S239" s="23" t="str">
        <f aca="false">IF(K239&gt;0,N239/K239,"")</f>
        <v/>
      </c>
      <c r="T239" s="20" t="str">
        <f aca="false">IF(N239&gt;0,H239/N239,"")</f>
        <v/>
      </c>
      <c r="U239" s="18" t="str">
        <f aca="false">IF(H239&gt;0,O239/H239,"")</f>
        <v/>
      </c>
      <c r="V239" s="20" t="str">
        <f aca="false">IF(N239&gt;0,O239/N239,"")</f>
        <v/>
      </c>
      <c r="W239" s="20" t="str">
        <f aca="false">IF(H239&gt;0,O239*الإعدادات!$B$5-H239,"")</f>
        <v/>
      </c>
      <c r="X239" s="23" t="str">
        <f aca="false">IF(AND(I239&gt;0,A239&lt;&gt;""),P239-IFERROR(INDEX(الإعدادات!$B$15:$B$18,MATCH(A239,الإعدادات!$A$15:$A$18,0)),0),"")</f>
        <v/>
      </c>
      <c r="Y239" s="12" t="str">
        <f aca="false">IF(H239="","",IF(H239&lt;الإعدادات!$B$9,"بيانات غير كافية — انتظر",IF(N239=0,"إيقاف أو إعادة بناء (إنفاق بلا مبيعات)",IF(H239/N239&gt;الإعدادات!$B$8*1.5,"خفض الميزانية + اختبار إبداعات جديدة",IF(O239/H239&gt;=الإعدادات!$B$6*1.2,"توسيع الميزانية تدريجياً",IF(O239/H239&gt;=الإعدادات!$B$7,IF(AND(X239&lt;&gt;"",X239&lt;0),"رابحة — حدّث الإبداعات لرفع CTR","رابحة — حافظ وحسّن"),"تحت التعادل — حسّن الصفحة/العرض أو أوقف"))))))</f>
        <v/>
      </c>
    </row>
    <row r="240" customFormat="false" ht="15" hidden="false" customHeight="false" outlineLevel="0" collapsed="false">
      <c r="A240" s="14"/>
      <c r="B240" s="14"/>
      <c r="C240" s="14"/>
      <c r="D240" s="14"/>
      <c r="E240" s="14"/>
      <c r="F240" s="14"/>
      <c r="G240" s="14"/>
      <c r="H240" s="19"/>
      <c r="I240" s="22"/>
      <c r="J240" s="22"/>
      <c r="K240" s="22"/>
      <c r="L240" s="22"/>
      <c r="M240" s="22"/>
      <c r="N240" s="22"/>
      <c r="O240" s="19"/>
      <c r="P240" s="23" t="str">
        <f aca="false">IF(I240&gt;0,K240/I240,"")</f>
        <v/>
      </c>
      <c r="Q240" s="20" t="str">
        <f aca="false">IF(K240&gt;0,H240/K240,"")</f>
        <v/>
      </c>
      <c r="R240" s="20" t="str">
        <f aca="false">IF(I240&gt;0,H240/I240*1000,"")</f>
        <v/>
      </c>
      <c r="S240" s="23" t="str">
        <f aca="false">IF(K240&gt;0,N240/K240,"")</f>
        <v/>
      </c>
      <c r="T240" s="20" t="str">
        <f aca="false">IF(N240&gt;0,H240/N240,"")</f>
        <v/>
      </c>
      <c r="U240" s="18" t="str">
        <f aca="false">IF(H240&gt;0,O240/H240,"")</f>
        <v/>
      </c>
      <c r="V240" s="20" t="str">
        <f aca="false">IF(N240&gt;0,O240/N240,"")</f>
        <v/>
      </c>
      <c r="W240" s="20" t="str">
        <f aca="false">IF(H240&gt;0,O240*الإعدادات!$B$5-H240,"")</f>
        <v/>
      </c>
      <c r="X240" s="23" t="str">
        <f aca="false">IF(AND(I240&gt;0,A240&lt;&gt;""),P240-IFERROR(INDEX(الإعدادات!$B$15:$B$18,MATCH(A240,الإعدادات!$A$15:$A$18,0)),0),"")</f>
        <v/>
      </c>
      <c r="Y240" s="12" t="str">
        <f aca="false">IF(H240="","",IF(H240&lt;الإعدادات!$B$9,"بيانات غير كافية — انتظر",IF(N240=0,"إيقاف أو إعادة بناء (إنفاق بلا مبيعات)",IF(H240/N240&gt;الإعدادات!$B$8*1.5,"خفض الميزانية + اختبار إبداعات جديدة",IF(O240/H240&gt;=الإعدادات!$B$6*1.2,"توسيع الميزانية تدريجياً",IF(O240/H240&gt;=الإعدادات!$B$7,IF(AND(X240&lt;&gt;"",X240&lt;0),"رابحة — حدّث الإبداعات لرفع CTR","رابحة — حافظ وحسّن"),"تحت التعادل — حسّن الصفحة/العرض أو أوقف"))))))</f>
        <v/>
      </c>
    </row>
    <row r="241" customFormat="false" ht="15" hidden="false" customHeight="false" outlineLevel="0" collapsed="false">
      <c r="A241" s="14"/>
      <c r="B241" s="14"/>
      <c r="C241" s="14"/>
      <c r="D241" s="14"/>
      <c r="E241" s="14"/>
      <c r="F241" s="14"/>
      <c r="G241" s="14"/>
      <c r="H241" s="19"/>
      <c r="I241" s="22"/>
      <c r="J241" s="22"/>
      <c r="K241" s="22"/>
      <c r="L241" s="22"/>
      <c r="M241" s="22"/>
      <c r="N241" s="22"/>
      <c r="O241" s="19"/>
      <c r="P241" s="23" t="str">
        <f aca="false">IF(I241&gt;0,K241/I241,"")</f>
        <v/>
      </c>
      <c r="Q241" s="20" t="str">
        <f aca="false">IF(K241&gt;0,H241/K241,"")</f>
        <v/>
      </c>
      <c r="R241" s="20" t="str">
        <f aca="false">IF(I241&gt;0,H241/I241*1000,"")</f>
        <v/>
      </c>
      <c r="S241" s="23" t="str">
        <f aca="false">IF(K241&gt;0,N241/K241,"")</f>
        <v/>
      </c>
      <c r="T241" s="20" t="str">
        <f aca="false">IF(N241&gt;0,H241/N241,"")</f>
        <v/>
      </c>
      <c r="U241" s="18" t="str">
        <f aca="false">IF(H241&gt;0,O241/H241,"")</f>
        <v/>
      </c>
      <c r="V241" s="20" t="str">
        <f aca="false">IF(N241&gt;0,O241/N241,"")</f>
        <v/>
      </c>
      <c r="W241" s="20" t="str">
        <f aca="false">IF(H241&gt;0,O241*الإعدادات!$B$5-H241,"")</f>
        <v/>
      </c>
      <c r="X241" s="23" t="str">
        <f aca="false">IF(AND(I241&gt;0,A241&lt;&gt;""),P241-IFERROR(INDEX(الإعدادات!$B$15:$B$18,MATCH(A241,الإعدادات!$A$15:$A$18,0)),0),"")</f>
        <v/>
      </c>
      <c r="Y241" s="12" t="str">
        <f aca="false">IF(H241="","",IF(H241&lt;الإعدادات!$B$9,"بيانات غير كافية — انتظر",IF(N241=0,"إيقاف أو إعادة بناء (إنفاق بلا مبيعات)",IF(H241/N241&gt;الإعدادات!$B$8*1.5,"خفض الميزانية + اختبار إبداعات جديدة",IF(O241/H241&gt;=الإعدادات!$B$6*1.2,"توسيع الميزانية تدريجياً",IF(O241/H241&gt;=الإعدادات!$B$7,IF(AND(X241&lt;&gt;"",X241&lt;0),"رابحة — حدّث الإبداعات لرفع CTR","رابحة — حافظ وحسّن"),"تحت التعادل — حسّن الصفحة/العرض أو أوقف"))))))</f>
        <v/>
      </c>
    </row>
    <row r="242" customFormat="false" ht="15" hidden="false" customHeight="false" outlineLevel="0" collapsed="false">
      <c r="A242" s="14"/>
      <c r="B242" s="14"/>
      <c r="C242" s="14"/>
      <c r="D242" s="14"/>
      <c r="E242" s="14"/>
      <c r="F242" s="14"/>
      <c r="G242" s="14"/>
      <c r="H242" s="19"/>
      <c r="I242" s="22"/>
      <c r="J242" s="22"/>
      <c r="K242" s="22"/>
      <c r="L242" s="22"/>
      <c r="M242" s="22"/>
      <c r="N242" s="22"/>
      <c r="O242" s="19"/>
      <c r="P242" s="23" t="str">
        <f aca="false">IF(I242&gt;0,K242/I242,"")</f>
        <v/>
      </c>
      <c r="Q242" s="20" t="str">
        <f aca="false">IF(K242&gt;0,H242/K242,"")</f>
        <v/>
      </c>
      <c r="R242" s="20" t="str">
        <f aca="false">IF(I242&gt;0,H242/I242*1000,"")</f>
        <v/>
      </c>
      <c r="S242" s="23" t="str">
        <f aca="false">IF(K242&gt;0,N242/K242,"")</f>
        <v/>
      </c>
      <c r="T242" s="20" t="str">
        <f aca="false">IF(N242&gt;0,H242/N242,"")</f>
        <v/>
      </c>
      <c r="U242" s="18" t="str">
        <f aca="false">IF(H242&gt;0,O242/H242,"")</f>
        <v/>
      </c>
      <c r="V242" s="20" t="str">
        <f aca="false">IF(N242&gt;0,O242/N242,"")</f>
        <v/>
      </c>
      <c r="W242" s="20" t="str">
        <f aca="false">IF(H242&gt;0,O242*الإعدادات!$B$5-H242,"")</f>
        <v/>
      </c>
      <c r="X242" s="23" t="str">
        <f aca="false">IF(AND(I242&gt;0,A242&lt;&gt;""),P242-IFERROR(INDEX(الإعدادات!$B$15:$B$18,MATCH(A242,الإعدادات!$A$15:$A$18,0)),0),"")</f>
        <v/>
      </c>
      <c r="Y242" s="12" t="str">
        <f aca="false">IF(H242="","",IF(H242&lt;الإعدادات!$B$9,"بيانات غير كافية — انتظر",IF(N242=0,"إيقاف أو إعادة بناء (إنفاق بلا مبيعات)",IF(H242/N242&gt;الإعدادات!$B$8*1.5,"خفض الميزانية + اختبار إبداعات جديدة",IF(O242/H242&gt;=الإعدادات!$B$6*1.2,"توسيع الميزانية تدريجياً",IF(O242/H242&gt;=الإعدادات!$B$7,IF(AND(X242&lt;&gt;"",X242&lt;0),"رابحة — حدّث الإبداعات لرفع CTR","رابحة — حافظ وحسّن"),"تحت التعادل — حسّن الصفحة/العرض أو أوقف"))))))</f>
        <v/>
      </c>
    </row>
    <row r="243" customFormat="false" ht="15" hidden="false" customHeight="false" outlineLevel="0" collapsed="false">
      <c r="A243" s="14"/>
      <c r="B243" s="14"/>
      <c r="C243" s="14"/>
      <c r="D243" s="14"/>
      <c r="E243" s="14"/>
      <c r="F243" s="14"/>
      <c r="G243" s="14"/>
      <c r="H243" s="19"/>
      <c r="I243" s="22"/>
      <c r="J243" s="22"/>
      <c r="K243" s="22"/>
      <c r="L243" s="22"/>
      <c r="M243" s="22"/>
      <c r="N243" s="22"/>
      <c r="O243" s="19"/>
      <c r="P243" s="23" t="str">
        <f aca="false">IF(I243&gt;0,K243/I243,"")</f>
        <v/>
      </c>
      <c r="Q243" s="20" t="str">
        <f aca="false">IF(K243&gt;0,H243/K243,"")</f>
        <v/>
      </c>
      <c r="R243" s="20" t="str">
        <f aca="false">IF(I243&gt;0,H243/I243*1000,"")</f>
        <v/>
      </c>
      <c r="S243" s="23" t="str">
        <f aca="false">IF(K243&gt;0,N243/K243,"")</f>
        <v/>
      </c>
      <c r="T243" s="20" t="str">
        <f aca="false">IF(N243&gt;0,H243/N243,"")</f>
        <v/>
      </c>
      <c r="U243" s="18" t="str">
        <f aca="false">IF(H243&gt;0,O243/H243,"")</f>
        <v/>
      </c>
      <c r="V243" s="20" t="str">
        <f aca="false">IF(N243&gt;0,O243/N243,"")</f>
        <v/>
      </c>
      <c r="W243" s="20" t="str">
        <f aca="false">IF(H243&gt;0,O243*الإعدادات!$B$5-H243,"")</f>
        <v/>
      </c>
      <c r="X243" s="23" t="str">
        <f aca="false">IF(AND(I243&gt;0,A243&lt;&gt;""),P243-IFERROR(INDEX(الإعدادات!$B$15:$B$18,MATCH(A243,الإعدادات!$A$15:$A$18,0)),0),"")</f>
        <v/>
      </c>
      <c r="Y243" s="12" t="str">
        <f aca="false">IF(H243="","",IF(H243&lt;الإعدادات!$B$9,"بيانات غير كافية — انتظر",IF(N243=0,"إيقاف أو إعادة بناء (إنفاق بلا مبيعات)",IF(H243/N243&gt;الإعدادات!$B$8*1.5,"خفض الميزانية + اختبار إبداعات جديدة",IF(O243/H243&gt;=الإعدادات!$B$6*1.2,"توسيع الميزانية تدريجياً",IF(O243/H243&gt;=الإعدادات!$B$7,IF(AND(X243&lt;&gt;"",X243&lt;0),"رابحة — حدّث الإبداعات لرفع CTR","رابحة — حافظ وحسّن"),"تحت التعادل — حسّن الصفحة/العرض أو أوقف"))))))</f>
        <v/>
      </c>
    </row>
    <row r="244" customFormat="false" ht="15" hidden="false" customHeight="false" outlineLevel="0" collapsed="false">
      <c r="A244" s="14"/>
      <c r="B244" s="14"/>
      <c r="C244" s="14"/>
      <c r="D244" s="14"/>
      <c r="E244" s="14"/>
      <c r="F244" s="14"/>
      <c r="G244" s="14"/>
      <c r="H244" s="19"/>
      <c r="I244" s="22"/>
      <c r="J244" s="22"/>
      <c r="K244" s="22"/>
      <c r="L244" s="22"/>
      <c r="M244" s="22"/>
      <c r="N244" s="22"/>
      <c r="O244" s="19"/>
      <c r="P244" s="23" t="str">
        <f aca="false">IF(I244&gt;0,K244/I244,"")</f>
        <v/>
      </c>
      <c r="Q244" s="20" t="str">
        <f aca="false">IF(K244&gt;0,H244/K244,"")</f>
        <v/>
      </c>
      <c r="R244" s="20" t="str">
        <f aca="false">IF(I244&gt;0,H244/I244*1000,"")</f>
        <v/>
      </c>
      <c r="S244" s="23" t="str">
        <f aca="false">IF(K244&gt;0,N244/K244,"")</f>
        <v/>
      </c>
      <c r="T244" s="20" t="str">
        <f aca="false">IF(N244&gt;0,H244/N244,"")</f>
        <v/>
      </c>
      <c r="U244" s="18" t="str">
        <f aca="false">IF(H244&gt;0,O244/H244,"")</f>
        <v/>
      </c>
      <c r="V244" s="20" t="str">
        <f aca="false">IF(N244&gt;0,O244/N244,"")</f>
        <v/>
      </c>
      <c r="W244" s="20" t="str">
        <f aca="false">IF(H244&gt;0,O244*الإعدادات!$B$5-H244,"")</f>
        <v/>
      </c>
      <c r="X244" s="23" t="str">
        <f aca="false">IF(AND(I244&gt;0,A244&lt;&gt;""),P244-IFERROR(INDEX(الإعدادات!$B$15:$B$18,MATCH(A244,الإعدادات!$A$15:$A$18,0)),0),"")</f>
        <v/>
      </c>
      <c r="Y244" s="12" t="str">
        <f aca="false">IF(H244="","",IF(H244&lt;الإعدادات!$B$9,"بيانات غير كافية — انتظر",IF(N244=0,"إيقاف أو إعادة بناء (إنفاق بلا مبيعات)",IF(H244/N244&gt;الإعدادات!$B$8*1.5,"خفض الميزانية + اختبار إبداعات جديدة",IF(O244/H244&gt;=الإعدادات!$B$6*1.2,"توسيع الميزانية تدريجياً",IF(O244/H244&gt;=الإعدادات!$B$7,IF(AND(X244&lt;&gt;"",X244&lt;0),"رابحة — حدّث الإبداعات لرفع CTR","رابحة — حافظ وحسّن"),"تحت التعادل — حسّن الصفحة/العرض أو أوقف"))))))</f>
        <v/>
      </c>
    </row>
    <row r="245" customFormat="false" ht="15" hidden="false" customHeight="false" outlineLevel="0" collapsed="false">
      <c r="A245" s="14"/>
      <c r="B245" s="14"/>
      <c r="C245" s="14"/>
      <c r="D245" s="14"/>
      <c r="E245" s="14"/>
      <c r="F245" s="14"/>
      <c r="G245" s="14"/>
      <c r="H245" s="19"/>
      <c r="I245" s="22"/>
      <c r="J245" s="22"/>
      <c r="K245" s="22"/>
      <c r="L245" s="22"/>
      <c r="M245" s="22"/>
      <c r="N245" s="22"/>
      <c r="O245" s="19"/>
      <c r="P245" s="23" t="str">
        <f aca="false">IF(I245&gt;0,K245/I245,"")</f>
        <v/>
      </c>
      <c r="Q245" s="20" t="str">
        <f aca="false">IF(K245&gt;0,H245/K245,"")</f>
        <v/>
      </c>
      <c r="R245" s="20" t="str">
        <f aca="false">IF(I245&gt;0,H245/I245*1000,"")</f>
        <v/>
      </c>
      <c r="S245" s="23" t="str">
        <f aca="false">IF(K245&gt;0,N245/K245,"")</f>
        <v/>
      </c>
      <c r="T245" s="20" t="str">
        <f aca="false">IF(N245&gt;0,H245/N245,"")</f>
        <v/>
      </c>
      <c r="U245" s="18" t="str">
        <f aca="false">IF(H245&gt;0,O245/H245,"")</f>
        <v/>
      </c>
      <c r="V245" s="20" t="str">
        <f aca="false">IF(N245&gt;0,O245/N245,"")</f>
        <v/>
      </c>
      <c r="W245" s="20" t="str">
        <f aca="false">IF(H245&gt;0,O245*الإعدادات!$B$5-H245,"")</f>
        <v/>
      </c>
      <c r="X245" s="23" t="str">
        <f aca="false">IF(AND(I245&gt;0,A245&lt;&gt;""),P245-IFERROR(INDEX(الإعدادات!$B$15:$B$18,MATCH(A245,الإعدادات!$A$15:$A$18,0)),0),"")</f>
        <v/>
      </c>
      <c r="Y245" s="12" t="str">
        <f aca="false">IF(H245="","",IF(H245&lt;الإعدادات!$B$9,"بيانات غير كافية — انتظر",IF(N245=0,"إيقاف أو إعادة بناء (إنفاق بلا مبيعات)",IF(H245/N245&gt;الإعدادات!$B$8*1.5,"خفض الميزانية + اختبار إبداعات جديدة",IF(O245/H245&gt;=الإعدادات!$B$6*1.2,"توسيع الميزانية تدريجياً",IF(O245/H245&gt;=الإعدادات!$B$7,IF(AND(X245&lt;&gt;"",X245&lt;0),"رابحة — حدّث الإبداعات لرفع CTR","رابحة — حافظ وحسّن"),"تحت التعادل — حسّن الصفحة/العرض أو أوقف"))))))</f>
        <v/>
      </c>
    </row>
    <row r="246" customFormat="false" ht="15" hidden="false" customHeight="false" outlineLevel="0" collapsed="false">
      <c r="A246" s="14"/>
      <c r="B246" s="14"/>
      <c r="C246" s="14"/>
      <c r="D246" s="14"/>
      <c r="E246" s="14"/>
      <c r="F246" s="14"/>
      <c r="G246" s="14"/>
      <c r="H246" s="19"/>
      <c r="I246" s="22"/>
      <c r="J246" s="22"/>
      <c r="K246" s="22"/>
      <c r="L246" s="22"/>
      <c r="M246" s="22"/>
      <c r="N246" s="22"/>
      <c r="O246" s="19"/>
      <c r="P246" s="23" t="str">
        <f aca="false">IF(I246&gt;0,K246/I246,"")</f>
        <v/>
      </c>
      <c r="Q246" s="20" t="str">
        <f aca="false">IF(K246&gt;0,H246/K246,"")</f>
        <v/>
      </c>
      <c r="R246" s="20" t="str">
        <f aca="false">IF(I246&gt;0,H246/I246*1000,"")</f>
        <v/>
      </c>
      <c r="S246" s="23" t="str">
        <f aca="false">IF(K246&gt;0,N246/K246,"")</f>
        <v/>
      </c>
      <c r="T246" s="20" t="str">
        <f aca="false">IF(N246&gt;0,H246/N246,"")</f>
        <v/>
      </c>
      <c r="U246" s="18" t="str">
        <f aca="false">IF(H246&gt;0,O246/H246,"")</f>
        <v/>
      </c>
      <c r="V246" s="20" t="str">
        <f aca="false">IF(N246&gt;0,O246/N246,"")</f>
        <v/>
      </c>
      <c r="W246" s="20" t="str">
        <f aca="false">IF(H246&gt;0,O246*الإعدادات!$B$5-H246,"")</f>
        <v/>
      </c>
      <c r="X246" s="23" t="str">
        <f aca="false">IF(AND(I246&gt;0,A246&lt;&gt;""),P246-IFERROR(INDEX(الإعدادات!$B$15:$B$18,MATCH(A246,الإعدادات!$A$15:$A$18,0)),0),"")</f>
        <v/>
      </c>
      <c r="Y246" s="12" t="str">
        <f aca="false">IF(H246="","",IF(H246&lt;الإعدادات!$B$9,"بيانات غير كافية — انتظر",IF(N246=0,"إيقاف أو إعادة بناء (إنفاق بلا مبيعات)",IF(H246/N246&gt;الإعدادات!$B$8*1.5,"خفض الميزانية + اختبار إبداعات جديدة",IF(O246/H246&gt;=الإعدادات!$B$6*1.2,"توسيع الميزانية تدريجياً",IF(O246/H246&gt;=الإعدادات!$B$7,IF(AND(X246&lt;&gt;"",X246&lt;0),"رابحة — حدّث الإبداعات لرفع CTR","رابحة — حافظ وحسّن"),"تحت التعادل — حسّن الصفحة/العرض أو أوقف"))))))</f>
        <v/>
      </c>
    </row>
    <row r="247" customFormat="false" ht="15" hidden="false" customHeight="false" outlineLevel="0" collapsed="false">
      <c r="A247" s="14"/>
      <c r="B247" s="14"/>
      <c r="C247" s="14"/>
      <c r="D247" s="14"/>
      <c r="E247" s="14"/>
      <c r="F247" s="14"/>
      <c r="G247" s="14"/>
      <c r="H247" s="19"/>
      <c r="I247" s="22"/>
      <c r="J247" s="22"/>
      <c r="K247" s="22"/>
      <c r="L247" s="22"/>
      <c r="M247" s="22"/>
      <c r="N247" s="22"/>
      <c r="O247" s="19"/>
      <c r="P247" s="23" t="str">
        <f aca="false">IF(I247&gt;0,K247/I247,"")</f>
        <v/>
      </c>
      <c r="Q247" s="20" t="str">
        <f aca="false">IF(K247&gt;0,H247/K247,"")</f>
        <v/>
      </c>
      <c r="R247" s="20" t="str">
        <f aca="false">IF(I247&gt;0,H247/I247*1000,"")</f>
        <v/>
      </c>
      <c r="S247" s="23" t="str">
        <f aca="false">IF(K247&gt;0,N247/K247,"")</f>
        <v/>
      </c>
      <c r="T247" s="20" t="str">
        <f aca="false">IF(N247&gt;0,H247/N247,"")</f>
        <v/>
      </c>
      <c r="U247" s="18" t="str">
        <f aca="false">IF(H247&gt;0,O247/H247,"")</f>
        <v/>
      </c>
      <c r="V247" s="20" t="str">
        <f aca="false">IF(N247&gt;0,O247/N247,"")</f>
        <v/>
      </c>
      <c r="W247" s="20" t="str">
        <f aca="false">IF(H247&gt;0,O247*الإعدادات!$B$5-H247,"")</f>
        <v/>
      </c>
      <c r="X247" s="23" t="str">
        <f aca="false">IF(AND(I247&gt;0,A247&lt;&gt;""),P247-IFERROR(INDEX(الإعدادات!$B$15:$B$18,MATCH(A247,الإعدادات!$A$15:$A$18,0)),0),"")</f>
        <v/>
      </c>
      <c r="Y247" s="12" t="str">
        <f aca="false">IF(H247="","",IF(H247&lt;الإعدادات!$B$9,"بيانات غير كافية — انتظر",IF(N247=0,"إيقاف أو إعادة بناء (إنفاق بلا مبيعات)",IF(H247/N247&gt;الإعدادات!$B$8*1.5,"خفض الميزانية + اختبار إبداعات جديدة",IF(O247/H247&gt;=الإعدادات!$B$6*1.2,"توسيع الميزانية تدريجياً",IF(O247/H247&gt;=الإعدادات!$B$7,IF(AND(X247&lt;&gt;"",X247&lt;0),"رابحة — حدّث الإبداعات لرفع CTR","رابحة — حافظ وحسّن"),"تحت التعادل — حسّن الصفحة/العرض أو أوقف"))))))</f>
        <v/>
      </c>
    </row>
    <row r="248" customFormat="false" ht="15" hidden="false" customHeight="false" outlineLevel="0" collapsed="false">
      <c r="A248" s="14"/>
      <c r="B248" s="14"/>
      <c r="C248" s="14"/>
      <c r="D248" s="14"/>
      <c r="E248" s="14"/>
      <c r="F248" s="14"/>
      <c r="G248" s="14"/>
      <c r="H248" s="19"/>
      <c r="I248" s="22"/>
      <c r="J248" s="22"/>
      <c r="K248" s="22"/>
      <c r="L248" s="22"/>
      <c r="M248" s="22"/>
      <c r="N248" s="22"/>
      <c r="O248" s="19"/>
      <c r="P248" s="23" t="str">
        <f aca="false">IF(I248&gt;0,K248/I248,"")</f>
        <v/>
      </c>
      <c r="Q248" s="20" t="str">
        <f aca="false">IF(K248&gt;0,H248/K248,"")</f>
        <v/>
      </c>
      <c r="R248" s="20" t="str">
        <f aca="false">IF(I248&gt;0,H248/I248*1000,"")</f>
        <v/>
      </c>
      <c r="S248" s="23" t="str">
        <f aca="false">IF(K248&gt;0,N248/K248,"")</f>
        <v/>
      </c>
      <c r="T248" s="20" t="str">
        <f aca="false">IF(N248&gt;0,H248/N248,"")</f>
        <v/>
      </c>
      <c r="U248" s="18" t="str">
        <f aca="false">IF(H248&gt;0,O248/H248,"")</f>
        <v/>
      </c>
      <c r="V248" s="20" t="str">
        <f aca="false">IF(N248&gt;0,O248/N248,"")</f>
        <v/>
      </c>
      <c r="W248" s="20" t="str">
        <f aca="false">IF(H248&gt;0,O248*الإعدادات!$B$5-H248,"")</f>
        <v/>
      </c>
      <c r="X248" s="23" t="str">
        <f aca="false">IF(AND(I248&gt;0,A248&lt;&gt;""),P248-IFERROR(INDEX(الإعدادات!$B$15:$B$18,MATCH(A248,الإعدادات!$A$15:$A$18,0)),0),"")</f>
        <v/>
      </c>
      <c r="Y248" s="12" t="str">
        <f aca="false">IF(H248="","",IF(H248&lt;الإعدادات!$B$9,"بيانات غير كافية — انتظر",IF(N248=0,"إيقاف أو إعادة بناء (إنفاق بلا مبيعات)",IF(H248/N248&gt;الإعدادات!$B$8*1.5,"خفض الميزانية + اختبار إبداعات جديدة",IF(O248/H248&gt;=الإعدادات!$B$6*1.2,"توسيع الميزانية تدريجياً",IF(O248/H248&gt;=الإعدادات!$B$7,IF(AND(X248&lt;&gt;"",X248&lt;0),"رابحة — حدّث الإبداعات لرفع CTR","رابحة — حافظ وحسّن"),"تحت التعادل — حسّن الصفحة/العرض أو أوقف"))))))</f>
        <v/>
      </c>
    </row>
    <row r="249" customFormat="false" ht="15" hidden="false" customHeight="false" outlineLevel="0" collapsed="false">
      <c r="A249" s="14"/>
      <c r="B249" s="14"/>
      <c r="C249" s="14"/>
      <c r="D249" s="14"/>
      <c r="E249" s="14"/>
      <c r="F249" s="14"/>
      <c r="G249" s="14"/>
      <c r="H249" s="19"/>
      <c r="I249" s="22"/>
      <c r="J249" s="22"/>
      <c r="K249" s="22"/>
      <c r="L249" s="22"/>
      <c r="M249" s="22"/>
      <c r="N249" s="22"/>
      <c r="O249" s="19"/>
      <c r="P249" s="23" t="str">
        <f aca="false">IF(I249&gt;0,K249/I249,"")</f>
        <v/>
      </c>
      <c r="Q249" s="20" t="str">
        <f aca="false">IF(K249&gt;0,H249/K249,"")</f>
        <v/>
      </c>
      <c r="R249" s="20" t="str">
        <f aca="false">IF(I249&gt;0,H249/I249*1000,"")</f>
        <v/>
      </c>
      <c r="S249" s="23" t="str">
        <f aca="false">IF(K249&gt;0,N249/K249,"")</f>
        <v/>
      </c>
      <c r="T249" s="20" t="str">
        <f aca="false">IF(N249&gt;0,H249/N249,"")</f>
        <v/>
      </c>
      <c r="U249" s="18" t="str">
        <f aca="false">IF(H249&gt;0,O249/H249,"")</f>
        <v/>
      </c>
      <c r="V249" s="20" t="str">
        <f aca="false">IF(N249&gt;0,O249/N249,"")</f>
        <v/>
      </c>
      <c r="W249" s="20" t="str">
        <f aca="false">IF(H249&gt;0,O249*الإعدادات!$B$5-H249,"")</f>
        <v/>
      </c>
      <c r="X249" s="23" t="str">
        <f aca="false">IF(AND(I249&gt;0,A249&lt;&gt;""),P249-IFERROR(INDEX(الإعدادات!$B$15:$B$18,MATCH(A249,الإعدادات!$A$15:$A$18,0)),0),"")</f>
        <v/>
      </c>
      <c r="Y249" s="12" t="str">
        <f aca="false">IF(H249="","",IF(H249&lt;الإعدادات!$B$9,"بيانات غير كافية — انتظر",IF(N249=0,"إيقاف أو إعادة بناء (إنفاق بلا مبيعات)",IF(H249/N249&gt;الإعدادات!$B$8*1.5,"خفض الميزانية + اختبار إبداعات جديدة",IF(O249/H249&gt;=الإعدادات!$B$6*1.2,"توسيع الميزانية تدريجياً",IF(O249/H249&gt;=الإعدادات!$B$7,IF(AND(X249&lt;&gt;"",X249&lt;0),"رابحة — حدّث الإبداعات لرفع CTR","رابحة — حافظ وحسّن"),"تحت التعادل — حسّن الصفحة/العرض أو أوقف"))))))</f>
        <v/>
      </c>
    </row>
    <row r="250" customFormat="false" ht="15" hidden="false" customHeight="false" outlineLevel="0" collapsed="false">
      <c r="A250" s="14"/>
      <c r="B250" s="14"/>
      <c r="C250" s="14"/>
      <c r="D250" s="14"/>
      <c r="E250" s="14"/>
      <c r="F250" s="14"/>
      <c r="G250" s="14"/>
      <c r="H250" s="19"/>
      <c r="I250" s="22"/>
      <c r="J250" s="22"/>
      <c r="K250" s="22"/>
      <c r="L250" s="22"/>
      <c r="M250" s="22"/>
      <c r="N250" s="22"/>
      <c r="O250" s="19"/>
      <c r="P250" s="23" t="str">
        <f aca="false">IF(I250&gt;0,K250/I250,"")</f>
        <v/>
      </c>
      <c r="Q250" s="20" t="str">
        <f aca="false">IF(K250&gt;0,H250/K250,"")</f>
        <v/>
      </c>
      <c r="R250" s="20" t="str">
        <f aca="false">IF(I250&gt;0,H250/I250*1000,"")</f>
        <v/>
      </c>
      <c r="S250" s="23" t="str">
        <f aca="false">IF(K250&gt;0,N250/K250,"")</f>
        <v/>
      </c>
      <c r="T250" s="20" t="str">
        <f aca="false">IF(N250&gt;0,H250/N250,"")</f>
        <v/>
      </c>
      <c r="U250" s="18" t="str">
        <f aca="false">IF(H250&gt;0,O250/H250,"")</f>
        <v/>
      </c>
      <c r="V250" s="20" t="str">
        <f aca="false">IF(N250&gt;0,O250/N250,"")</f>
        <v/>
      </c>
      <c r="W250" s="20" t="str">
        <f aca="false">IF(H250&gt;0,O250*الإعدادات!$B$5-H250,"")</f>
        <v/>
      </c>
      <c r="X250" s="23" t="str">
        <f aca="false">IF(AND(I250&gt;0,A250&lt;&gt;""),P250-IFERROR(INDEX(الإعدادات!$B$15:$B$18,MATCH(A250,الإعدادات!$A$15:$A$18,0)),0),"")</f>
        <v/>
      </c>
      <c r="Y250" s="12" t="str">
        <f aca="false">IF(H250="","",IF(H250&lt;الإعدادات!$B$9,"بيانات غير كافية — انتظر",IF(N250=0,"إيقاف أو إعادة بناء (إنفاق بلا مبيعات)",IF(H250/N250&gt;الإعدادات!$B$8*1.5,"خفض الميزانية + اختبار إبداعات جديدة",IF(O250/H250&gt;=الإعدادات!$B$6*1.2,"توسيع الميزانية تدريجياً",IF(O250/H250&gt;=الإعدادات!$B$7,IF(AND(X250&lt;&gt;"",X250&lt;0),"رابحة — حدّث الإبداعات لرفع CTR","رابحة — حافظ وحسّن"),"تحت التعادل — حسّن الصفحة/العرض أو أوقف"))))))</f>
        <v/>
      </c>
    </row>
    <row r="251" customFormat="false" ht="15" hidden="false" customHeight="false" outlineLevel="0" collapsed="false">
      <c r="A251" s="14"/>
      <c r="B251" s="14"/>
      <c r="C251" s="14"/>
      <c r="D251" s="14"/>
      <c r="E251" s="14"/>
      <c r="F251" s="14"/>
      <c r="G251" s="14"/>
      <c r="H251" s="19"/>
      <c r="I251" s="22"/>
      <c r="J251" s="22"/>
      <c r="K251" s="22"/>
      <c r="L251" s="22"/>
      <c r="M251" s="22"/>
      <c r="N251" s="22"/>
      <c r="O251" s="19"/>
      <c r="P251" s="23" t="str">
        <f aca="false">IF(I251&gt;0,K251/I251,"")</f>
        <v/>
      </c>
      <c r="Q251" s="20" t="str">
        <f aca="false">IF(K251&gt;0,H251/K251,"")</f>
        <v/>
      </c>
      <c r="R251" s="20" t="str">
        <f aca="false">IF(I251&gt;0,H251/I251*1000,"")</f>
        <v/>
      </c>
      <c r="S251" s="23" t="str">
        <f aca="false">IF(K251&gt;0,N251/K251,"")</f>
        <v/>
      </c>
      <c r="T251" s="20" t="str">
        <f aca="false">IF(N251&gt;0,H251/N251,"")</f>
        <v/>
      </c>
      <c r="U251" s="18" t="str">
        <f aca="false">IF(H251&gt;0,O251/H251,"")</f>
        <v/>
      </c>
      <c r="V251" s="20" t="str">
        <f aca="false">IF(N251&gt;0,O251/N251,"")</f>
        <v/>
      </c>
      <c r="W251" s="20" t="str">
        <f aca="false">IF(H251&gt;0,O251*الإعدادات!$B$5-H251,"")</f>
        <v/>
      </c>
      <c r="X251" s="23" t="str">
        <f aca="false">IF(AND(I251&gt;0,A251&lt;&gt;""),P251-IFERROR(INDEX(الإعدادات!$B$15:$B$18,MATCH(A251,الإعدادات!$A$15:$A$18,0)),0),"")</f>
        <v/>
      </c>
      <c r="Y251" s="12" t="str">
        <f aca="false">IF(H251="","",IF(H251&lt;الإعدادات!$B$9,"بيانات غير كافية — انتظر",IF(N251=0,"إيقاف أو إعادة بناء (إنفاق بلا مبيعات)",IF(H251/N251&gt;الإعدادات!$B$8*1.5,"خفض الميزانية + اختبار إبداعات جديدة",IF(O251/H251&gt;=الإعدادات!$B$6*1.2,"توسيع الميزانية تدريجياً",IF(O251/H251&gt;=الإعدادات!$B$7,IF(AND(X251&lt;&gt;"",X251&lt;0),"رابحة — حدّث الإبداعات لرفع CTR","رابحة — حافظ وحسّن"),"تحت التعادل — حسّن الصفحة/العرض أو أوقف"))))))</f>
        <v/>
      </c>
    </row>
    <row r="252" customFormat="false" ht="15" hidden="false" customHeight="false" outlineLevel="0" collapsed="false">
      <c r="A252" s="14"/>
      <c r="B252" s="14"/>
      <c r="C252" s="14"/>
      <c r="D252" s="14"/>
      <c r="E252" s="14"/>
      <c r="F252" s="14"/>
      <c r="G252" s="14"/>
      <c r="H252" s="19"/>
      <c r="I252" s="22"/>
      <c r="J252" s="22"/>
      <c r="K252" s="22"/>
      <c r="L252" s="22"/>
      <c r="M252" s="22"/>
      <c r="N252" s="22"/>
      <c r="O252" s="19"/>
      <c r="P252" s="23" t="str">
        <f aca="false">IF(I252&gt;0,K252/I252,"")</f>
        <v/>
      </c>
      <c r="Q252" s="20" t="str">
        <f aca="false">IF(K252&gt;0,H252/K252,"")</f>
        <v/>
      </c>
      <c r="R252" s="20" t="str">
        <f aca="false">IF(I252&gt;0,H252/I252*1000,"")</f>
        <v/>
      </c>
      <c r="S252" s="23" t="str">
        <f aca="false">IF(K252&gt;0,N252/K252,"")</f>
        <v/>
      </c>
      <c r="T252" s="20" t="str">
        <f aca="false">IF(N252&gt;0,H252/N252,"")</f>
        <v/>
      </c>
      <c r="U252" s="18" t="str">
        <f aca="false">IF(H252&gt;0,O252/H252,"")</f>
        <v/>
      </c>
      <c r="V252" s="20" t="str">
        <f aca="false">IF(N252&gt;0,O252/N252,"")</f>
        <v/>
      </c>
      <c r="W252" s="20" t="str">
        <f aca="false">IF(H252&gt;0,O252*الإعدادات!$B$5-H252,"")</f>
        <v/>
      </c>
      <c r="X252" s="23" t="str">
        <f aca="false">IF(AND(I252&gt;0,A252&lt;&gt;""),P252-IFERROR(INDEX(الإعدادات!$B$15:$B$18,MATCH(A252,الإعدادات!$A$15:$A$18,0)),0),"")</f>
        <v/>
      </c>
      <c r="Y252" s="12" t="str">
        <f aca="false">IF(H252="","",IF(H252&lt;الإعدادات!$B$9,"بيانات غير كافية — انتظر",IF(N252=0,"إيقاف أو إعادة بناء (إنفاق بلا مبيعات)",IF(H252/N252&gt;الإعدادات!$B$8*1.5,"خفض الميزانية + اختبار إبداعات جديدة",IF(O252/H252&gt;=الإعدادات!$B$6*1.2,"توسيع الميزانية تدريجياً",IF(O252/H252&gt;=الإعدادات!$B$7,IF(AND(X252&lt;&gt;"",X252&lt;0),"رابحة — حدّث الإبداعات لرفع CTR","رابحة — حافظ وحسّن"),"تحت التعادل — حسّن الصفحة/العرض أو أوقف"))))))</f>
        <v/>
      </c>
    </row>
    <row r="253" customFormat="false" ht="15" hidden="false" customHeight="false" outlineLevel="0" collapsed="false">
      <c r="A253" s="14"/>
      <c r="B253" s="14"/>
      <c r="C253" s="14"/>
      <c r="D253" s="14"/>
      <c r="E253" s="14"/>
      <c r="F253" s="14"/>
      <c r="G253" s="14"/>
      <c r="H253" s="19"/>
      <c r="I253" s="22"/>
      <c r="J253" s="22"/>
      <c r="K253" s="22"/>
      <c r="L253" s="22"/>
      <c r="M253" s="22"/>
      <c r="N253" s="22"/>
      <c r="O253" s="19"/>
      <c r="P253" s="23" t="str">
        <f aca="false">IF(I253&gt;0,K253/I253,"")</f>
        <v/>
      </c>
      <c r="Q253" s="20" t="str">
        <f aca="false">IF(K253&gt;0,H253/K253,"")</f>
        <v/>
      </c>
      <c r="R253" s="20" t="str">
        <f aca="false">IF(I253&gt;0,H253/I253*1000,"")</f>
        <v/>
      </c>
      <c r="S253" s="23" t="str">
        <f aca="false">IF(K253&gt;0,N253/K253,"")</f>
        <v/>
      </c>
      <c r="T253" s="20" t="str">
        <f aca="false">IF(N253&gt;0,H253/N253,"")</f>
        <v/>
      </c>
      <c r="U253" s="18" t="str">
        <f aca="false">IF(H253&gt;0,O253/H253,"")</f>
        <v/>
      </c>
      <c r="V253" s="20" t="str">
        <f aca="false">IF(N253&gt;0,O253/N253,"")</f>
        <v/>
      </c>
      <c r="W253" s="20" t="str">
        <f aca="false">IF(H253&gt;0,O253*الإعدادات!$B$5-H253,"")</f>
        <v/>
      </c>
      <c r="X253" s="23" t="str">
        <f aca="false">IF(AND(I253&gt;0,A253&lt;&gt;""),P253-IFERROR(INDEX(الإعدادات!$B$15:$B$18,MATCH(A253,الإعدادات!$A$15:$A$18,0)),0),"")</f>
        <v/>
      </c>
      <c r="Y253" s="12" t="str">
        <f aca="false">IF(H253="","",IF(H253&lt;الإعدادات!$B$9,"بيانات غير كافية — انتظر",IF(N253=0,"إيقاف أو إعادة بناء (إنفاق بلا مبيعات)",IF(H253/N253&gt;الإعدادات!$B$8*1.5,"خفض الميزانية + اختبار إبداعات جديدة",IF(O253/H253&gt;=الإعدادات!$B$6*1.2,"توسيع الميزانية تدريجياً",IF(O253/H253&gt;=الإعدادات!$B$7,IF(AND(X253&lt;&gt;"",X253&lt;0),"رابحة — حدّث الإبداعات لرفع CTR","رابحة — حافظ وحسّن"),"تحت التعادل — حسّن الصفحة/العرض أو أوقف"))))))</f>
        <v/>
      </c>
    </row>
    <row r="254" customFormat="false" ht="15" hidden="false" customHeight="false" outlineLevel="0" collapsed="false">
      <c r="A254" s="14"/>
      <c r="B254" s="14"/>
      <c r="C254" s="14"/>
      <c r="D254" s="14"/>
      <c r="E254" s="14"/>
      <c r="F254" s="14"/>
      <c r="G254" s="14"/>
      <c r="H254" s="19"/>
      <c r="I254" s="22"/>
      <c r="J254" s="22"/>
      <c r="K254" s="22"/>
      <c r="L254" s="22"/>
      <c r="M254" s="22"/>
      <c r="N254" s="22"/>
      <c r="O254" s="19"/>
      <c r="P254" s="23" t="str">
        <f aca="false">IF(I254&gt;0,K254/I254,"")</f>
        <v/>
      </c>
      <c r="Q254" s="20" t="str">
        <f aca="false">IF(K254&gt;0,H254/K254,"")</f>
        <v/>
      </c>
      <c r="R254" s="20" t="str">
        <f aca="false">IF(I254&gt;0,H254/I254*1000,"")</f>
        <v/>
      </c>
      <c r="S254" s="23" t="str">
        <f aca="false">IF(K254&gt;0,N254/K254,"")</f>
        <v/>
      </c>
      <c r="T254" s="20" t="str">
        <f aca="false">IF(N254&gt;0,H254/N254,"")</f>
        <v/>
      </c>
      <c r="U254" s="18" t="str">
        <f aca="false">IF(H254&gt;0,O254/H254,"")</f>
        <v/>
      </c>
      <c r="V254" s="20" t="str">
        <f aca="false">IF(N254&gt;0,O254/N254,"")</f>
        <v/>
      </c>
      <c r="W254" s="20" t="str">
        <f aca="false">IF(H254&gt;0,O254*الإعدادات!$B$5-H254,"")</f>
        <v/>
      </c>
      <c r="X254" s="23" t="str">
        <f aca="false">IF(AND(I254&gt;0,A254&lt;&gt;""),P254-IFERROR(INDEX(الإعدادات!$B$15:$B$18,MATCH(A254,الإعدادات!$A$15:$A$18,0)),0),"")</f>
        <v/>
      </c>
      <c r="Y254" s="12" t="str">
        <f aca="false">IF(H254="","",IF(H254&lt;الإعدادات!$B$9,"بيانات غير كافية — انتظر",IF(N254=0,"إيقاف أو إعادة بناء (إنفاق بلا مبيعات)",IF(H254/N254&gt;الإعدادات!$B$8*1.5,"خفض الميزانية + اختبار إبداعات جديدة",IF(O254/H254&gt;=الإعدادات!$B$6*1.2,"توسيع الميزانية تدريجياً",IF(O254/H254&gt;=الإعدادات!$B$7,IF(AND(X254&lt;&gt;"",X254&lt;0),"رابحة — حدّث الإبداعات لرفع CTR","رابحة — حافظ وحسّن"),"تحت التعادل — حسّن الصفحة/العرض أو أوقف"))))))</f>
        <v/>
      </c>
    </row>
    <row r="255" customFormat="false" ht="15" hidden="false" customHeight="false" outlineLevel="0" collapsed="false">
      <c r="A255" s="14"/>
      <c r="B255" s="14"/>
      <c r="C255" s="14"/>
      <c r="D255" s="14"/>
      <c r="E255" s="14"/>
      <c r="F255" s="14"/>
      <c r="G255" s="14"/>
      <c r="H255" s="19"/>
      <c r="I255" s="22"/>
      <c r="J255" s="22"/>
      <c r="K255" s="22"/>
      <c r="L255" s="22"/>
      <c r="M255" s="22"/>
      <c r="N255" s="22"/>
      <c r="O255" s="19"/>
      <c r="P255" s="23" t="str">
        <f aca="false">IF(I255&gt;0,K255/I255,"")</f>
        <v/>
      </c>
      <c r="Q255" s="20" t="str">
        <f aca="false">IF(K255&gt;0,H255/K255,"")</f>
        <v/>
      </c>
      <c r="R255" s="20" t="str">
        <f aca="false">IF(I255&gt;0,H255/I255*1000,"")</f>
        <v/>
      </c>
      <c r="S255" s="23" t="str">
        <f aca="false">IF(K255&gt;0,N255/K255,"")</f>
        <v/>
      </c>
      <c r="T255" s="20" t="str">
        <f aca="false">IF(N255&gt;0,H255/N255,"")</f>
        <v/>
      </c>
      <c r="U255" s="18" t="str">
        <f aca="false">IF(H255&gt;0,O255/H255,"")</f>
        <v/>
      </c>
      <c r="V255" s="20" t="str">
        <f aca="false">IF(N255&gt;0,O255/N255,"")</f>
        <v/>
      </c>
      <c r="W255" s="20" t="str">
        <f aca="false">IF(H255&gt;0,O255*الإعدادات!$B$5-H255,"")</f>
        <v/>
      </c>
      <c r="X255" s="23" t="str">
        <f aca="false">IF(AND(I255&gt;0,A255&lt;&gt;""),P255-IFERROR(INDEX(الإعدادات!$B$15:$B$18,MATCH(A255,الإعدادات!$A$15:$A$18,0)),0),"")</f>
        <v/>
      </c>
      <c r="Y255" s="12" t="str">
        <f aca="false">IF(H255="","",IF(H255&lt;الإعدادات!$B$9,"بيانات غير كافية — انتظر",IF(N255=0,"إيقاف أو إعادة بناء (إنفاق بلا مبيعات)",IF(H255/N255&gt;الإعدادات!$B$8*1.5,"خفض الميزانية + اختبار إبداعات جديدة",IF(O255/H255&gt;=الإعدادات!$B$6*1.2,"توسيع الميزانية تدريجياً",IF(O255/H255&gt;=الإعدادات!$B$7,IF(AND(X255&lt;&gt;"",X255&lt;0),"رابحة — حدّث الإبداعات لرفع CTR","رابحة — حافظ وحسّن"),"تحت التعادل — حسّن الصفحة/العرض أو أوقف"))))))</f>
        <v/>
      </c>
    </row>
    <row r="256" customFormat="false" ht="15" hidden="false" customHeight="false" outlineLevel="0" collapsed="false">
      <c r="A256" s="14"/>
      <c r="B256" s="14"/>
      <c r="C256" s="14"/>
      <c r="D256" s="14"/>
      <c r="E256" s="14"/>
      <c r="F256" s="14"/>
      <c r="G256" s="14"/>
      <c r="H256" s="19"/>
      <c r="I256" s="22"/>
      <c r="J256" s="22"/>
      <c r="K256" s="22"/>
      <c r="L256" s="22"/>
      <c r="M256" s="22"/>
      <c r="N256" s="22"/>
      <c r="O256" s="19"/>
      <c r="P256" s="23" t="str">
        <f aca="false">IF(I256&gt;0,K256/I256,"")</f>
        <v/>
      </c>
      <c r="Q256" s="20" t="str">
        <f aca="false">IF(K256&gt;0,H256/K256,"")</f>
        <v/>
      </c>
      <c r="R256" s="20" t="str">
        <f aca="false">IF(I256&gt;0,H256/I256*1000,"")</f>
        <v/>
      </c>
      <c r="S256" s="23" t="str">
        <f aca="false">IF(K256&gt;0,N256/K256,"")</f>
        <v/>
      </c>
      <c r="T256" s="20" t="str">
        <f aca="false">IF(N256&gt;0,H256/N256,"")</f>
        <v/>
      </c>
      <c r="U256" s="18" t="str">
        <f aca="false">IF(H256&gt;0,O256/H256,"")</f>
        <v/>
      </c>
      <c r="V256" s="20" t="str">
        <f aca="false">IF(N256&gt;0,O256/N256,"")</f>
        <v/>
      </c>
      <c r="W256" s="20" t="str">
        <f aca="false">IF(H256&gt;0,O256*الإعدادات!$B$5-H256,"")</f>
        <v/>
      </c>
      <c r="X256" s="23" t="str">
        <f aca="false">IF(AND(I256&gt;0,A256&lt;&gt;""),P256-IFERROR(INDEX(الإعدادات!$B$15:$B$18,MATCH(A256,الإعدادات!$A$15:$A$18,0)),0),"")</f>
        <v/>
      </c>
      <c r="Y256" s="12" t="str">
        <f aca="false">IF(H256="","",IF(H256&lt;الإعدادات!$B$9,"بيانات غير كافية — انتظر",IF(N256=0,"إيقاف أو إعادة بناء (إنفاق بلا مبيعات)",IF(H256/N256&gt;الإعدادات!$B$8*1.5,"خفض الميزانية + اختبار إبداعات جديدة",IF(O256/H256&gt;=الإعدادات!$B$6*1.2,"توسيع الميزانية تدريجياً",IF(O256/H256&gt;=الإعدادات!$B$7,IF(AND(X256&lt;&gt;"",X256&lt;0),"رابحة — حدّث الإبداعات لرفع CTR","رابحة — حافظ وحسّن"),"تحت التعادل — حسّن الصفحة/العرض أو أوقف"))))))</f>
        <v/>
      </c>
    </row>
    <row r="257" customFormat="false" ht="15" hidden="false" customHeight="false" outlineLevel="0" collapsed="false">
      <c r="A257" s="14"/>
      <c r="B257" s="14"/>
      <c r="C257" s="14"/>
      <c r="D257" s="14"/>
      <c r="E257" s="14"/>
      <c r="F257" s="14"/>
      <c r="G257" s="14"/>
      <c r="H257" s="19"/>
      <c r="I257" s="22"/>
      <c r="J257" s="22"/>
      <c r="K257" s="22"/>
      <c r="L257" s="22"/>
      <c r="M257" s="22"/>
      <c r="N257" s="22"/>
      <c r="O257" s="19"/>
      <c r="P257" s="23" t="str">
        <f aca="false">IF(I257&gt;0,K257/I257,"")</f>
        <v/>
      </c>
      <c r="Q257" s="20" t="str">
        <f aca="false">IF(K257&gt;0,H257/K257,"")</f>
        <v/>
      </c>
      <c r="R257" s="20" t="str">
        <f aca="false">IF(I257&gt;0,H257/I257*1000,"")</f>
        <v/>
      </c>
      <c r="S257" s="23" t="str">
        <f aca="false">IF(K257&gt;0,N257/K257,"")</f>
        <v/>
      </c>
      <c r="T257" s="20" t="str">
        <f aca="false">IF(N257&gt;0,H257/N257,"")</f>
        <v/>
      </c>
      <c r="U257" s="18" t="str">
        <f aca="false">IF(H257&gt;0,O257/H257,"")</f>
        <v/>
      </c>
      <c r="V257" s="20" t="str">
        <f aca="false">IF(N257&gt;0,O257/N257,"")</f>
        <v/>
      </c>
      <c r="W257" s="20" t="str">
        <f aca="false">IF(H257&gt;0,O257*الإعدادات!$B$5-H257,"")</f>
        <v/>
      </c>
      <c r="X257" s="23" t="str">
        <f aca="false">IF(AND(I257&gt;0,A257&lt;&gt;""),P257-IFERROR(INDEX(الإعدادات!$B$15:$B$18,MATCH(A257,الإعدادات!$A$15:$A$18,0)),0),"")</f>
        <v/>
      </c>
      <c r="Y257" s="12" t="str">
        <f aca="false">IF(H257="","",IF(H257&lt;الإعدادات!$B$9,"بيانات غير كافية — انتظر",IF(N257=0,"إيقاف أو إعادة بناء (إنفاق بلا مبيعات)",IF(H257/N257&gt;الإعدادات!$B$8*1.5,"خفض الميزانية + اختبار إبداعات جديدة",IF(O257/H257&gt;=الإعدادات!$B$6*1.2,"توسيع الميزانية تدريجياً",IF(O257/H257&gt;=الإعدادات!$B$7,IF(AND(X257&lt;&gt;"",X257&lt;0),"رابحة — حدّث الإبداعات لرفع CTR","رابحة — حافظ وحسّن"),"تحت التعادل — حسّن الصفحة/العرض أو أوقف"))))))</f>
        <v/>
      </c>
    </row>
    <row r="258" customFormat="false" ht="15" hidden="false" customHeight="false" outlineLevel="0" collapsed="false">
      <c r="A258" s="14"/>
      <c r="B258" s="14"/>
      <c r="C258" s="14"/>
      <c r="D258" s="14"/>
      <c r="E258" s="14"/>
      <c r="F258" s="14"/>
      <c r="G258" s="14"/>
      <c r="H258" s="19"/>
      <c r="I258" s="22"/>
      <c r="J258" s="22"/>
      <c r="K258" s="22"/>
      <c r="L258" s="22"/>
      <c r="M258" s="22"/>
      <c r="N258" s="22"/>
      <c r="O258" s="19"/>
      <c r="P258" s="23" t="str">
        <f aca="false">IF(I258&gt;0,K258/I258,"")</f>
        <v/>
      </c>
      <c r="Q258" s="20" t="str">
        <f aca="false">IF(K258&gt;0,H258/K258,"")</f>
        <v/>
      </c>
      <c r="R258" s="20" t="str">
        <f aca="false">IF(I258&gt;0,H258/I258*1000,"")</f>
        <v/>
      </c>
      <c r="S258" s="23" t="str">
        <f aca="false">IF(K258&gt;0,N258/K258,"")</f>
        <v/>
      </c>
      <c r="T258" s="20" t="str">
        <f aca="false">IF(N258&gt;0,H258/N258,"")</f>
        <v/>
      </c>
      <c r="U258" s="18" t="str">
        <f aca="false">IF(H258&gt;0,O258/H258,"")</f>
        <v/>
      </c>
      <c r="V258" s="20" t="str">
        <f aca="false">IF(N258&gt;0,O258/N258,"")</f>
        <v/>
      </c>
      <c r="W258" s="20" t="str">
        <f aca="false">IF(H258&gt;0,O258*الإعدادات!$B$5-H258,"")</f>
        <v/>
      </c>
      <c r="X258" s="23" t="str">
        <f aca="false">IF(AND(I258&gt;0,A258&lt;&gt;""),P258-IFERROR(INDEX(الإعدادات!$B$15:$B$18,MATCH(A258,الإعدادات!$A$15:$A$18,0)),0),"")</f>
        <v/>
      </c>
      <c r="Y258" s="12" t="str">
        <f aca="false">IF(H258="","",IF(H258&lt;الإعدادات!$B$9,"بيانات غير كافية — انتظر",IF(N258=0,"إيقاف أو إعادة بناء (إنفاق بلا مبيعات)",IF(H258/N258&gt;الإعدادات!$B$8*1.5,"خفض الميزانية + اختبار إبداعات جديدة",IF(O258/H258&gt;=الإعدادات!$B$6*1.2,"توسيع الميزانية تدريجياً",IF(O258/H258&gt;=الإعدادات!$B$7,IF(AND(X258&lt;&gt;"",X258&lt;0),"رابحة — حدّث الإبداعات لرفع CTR","رابحة — حافظ وحسّن"),"تحت التعادل — حسّن الصفحة/العرض أو أوقف"))))))</f>
        <v/>
      </c>
    </row>
    <row r="259" customFormat="false" ht="15" hidden="false" customHeight="false" outlineLevel="0" collapsed="false">
      <c r="A259" s="14"/>
      <c r="B259" s="14"/>
      <c r="C259" s="14"/>
      <c r="D259" s="14"/>
      <c r="E259" s="14"/>
      <c r="F259" s="14"/>
      <c r="G259" s="14"/>
      <c r="H259" s="19"/>
      <c r="I259" s="22"/>
      <c r="J259" s="22"/>
      <c r="K259" s="22"/>
      <c r="L259" s="22"/>
      <c r="M259" s="22"/>
      <c r="N259" s="22"/>
      <c r="O259" s="19"/>
      <c r="P259" s="23" t="str">
        <f aca="false">IF(I259&gt;0,K259/I259,"")</f>
        <v/>
      </c>
      <c r="Q259" s="20" t="str">
        <f aca="false">IF(K259&gt;0,H259/K259,"")</f>
        <v/>
      </c>
      <c r="R259" s="20" t="str">
        <f aca="false">IF(I259&gt;0,H259/I259*1000,"")</f>
        <v/>
      </c>
      <c r="S259" s="23" t="str">
        <f aca="false">IF(K259&gt;0,N259/K259,"")</f>
        <v/>
      </c>
      <c r="T259" s="20" t="str">
        <f aca="false">IF(N259&gt;0,H259/N259,"")</f>
        <v/>
      </c>
      <c r="U259" s="18" t="str">
        <f aca="false">IF(H259&gt;0,O259/H259,"")</f>
        <v/>
      </c>
      <c r="V259" s="20" t="str">
        <f aca="false">IF(N259&gt;0,O259/N259,"")</f>
        <v/>
      </c>
      <c r="W259" s="20" t="str">
        <f aca="false">IF(H259&gt;0,O259*الإعدادات!$B$5-H259,"")</f>
        <v/>
      </c>
      <c r="X259" s="23" t="str">
        <f aca="false">IF(AND(I259&gt;0,A259&lt;&gt;""),P259-IFERROR(INDEX(الإعدادات!$B$15:$B$18,MATCH(A259,الإعدادات!$A$15:$A$18,0)),0),"")</f>
        <v/>
      </c>
      <c r="Y259" s="12" t="str">
        <f aca="false">IF(H259="","",IF(H259&lt;الإعدادات!$B$9,"بيانات غير كافية — انتظر",IF(N259=0,"إيقاف أو إعادة بناء (إنفاق بلا مبيعات)",IF(H259/N259&gt;الإعدادات!$B$8*1.5,"خفض الميزانية + اختبار إبداعات جديدة",IF(O259/H259&gt;=الإعدادات!$B$6*1.2,"توسيع الميزانية تدريجياً",IF(O259/H259&gt;=الإعدادات!$B$7,IF(AND(X259&lt;&gt;"",X259&lt;0),"رابحة — حدّث الإبداعات لرفع CTR","رابحة — حافظ وحسّن"),"تحت التعادل — حسّن الصفحة/العرض أو أوقف"))))))</f>
        <v/>
      </c>
    </row>
    <row r="260" customFormat="false" ht="15" hidden="false" customHeight="false" outlineLevel="0" collapsed="false">
      <c r="A260" s="14"/>
      <c r="B260" s="14"/>
      <c r="C260" s="14"/>
      <c r="D260" s="14"/>
      <c r="E260" s="14"/>
      <c r="F260" s="14"/>
      <c r="G260" s="14"/>
      <c r="H260" s="19"/>
      <c r="I260" s="22"/>
      <c r="J260" s="22"/>
      <c r="K260" s="22"/>
      <c r="L260" s="22"/>
      <c r="M260" s="22"/>
      <c r="N260" s="22"/>
      <c r="O260" s="19"/>
      <c r="P260" s="23" t="str">
        <f aca="false">IF(I260&gt;0,K260/I260,"")</f>
        <v/>
      </c>
      <c r="Q260" s="20" t="str">
        <f aca="false">IF(K260&gt;0,H260/K260,"")</f>
        <v/>
      </c>
      <c r="R260" s="20" t="str">
        <f aca="false">IF(I260&gt;0,H260/I260*1000,"")</f>
        <v/>
      </c>
      <c r="S260" s="23" t="str">
        <f aca="false">IF(K260&gt;0,N260/K260,"")</f>
        <v/>
      </c>
      <c r="T260" s="20" t="str">
        <f aca="false">IF(N260&gt;0,H260/N260,"")</f>
        <v/>
      </c>
      <c r="U260" s="18" t="str">
        <f aca="false">IF(H260&gt;0,O260/H260,"")</f>
        <v/>
      </c>
      <c r="V260" s="20" t="str">
        <f aca="false">IF(N260&gt;0,O260/N260,"")</f>
        <v/>
      </c>
      <c r="W260" s="20" t="str">
        <f aca="false">IF(H260&gt;0,O260*الإعدادات!$B$5-H260,"")</f>
        <v/>
      </c>
      <c r="X260" s="23" t="str">
        <f aca="false">IF(AND(I260&gt;0,A260&lt;&gt;""),P260-IFERROR(INDEX(الإعدادات!$B$15:$B$18,MATCH(A260,الإعدادات!$A$15:$A$18,0)),0),"")</f>
        <v/>
      </c>
      <c r="Y260" s="12" t="str">
        <f aca="false">IF(H260="","",IF(H260&lt;الإعدادات!$B$9,"بيانات غير كافية — انتظر",IF(N260=0,"إيقاف أو إعادة بناء (إنفاق بلا مبيعات)",IF(H260/N260&gt;الإعدادات!$B$8*1.5,"خفض الميزانية + اختبار إبداعات جديدة",IF(O260/H260&gt;=الإعدادات!$B$6*1.2,"توسيع الميزانية تدريجياً",IF(O260/H260&gt;=الإعدادات!$B$7,IF(AND(X260&lt;&gt;"",X260&lt;0),"رابحة — حدّث الإبداعات لرفع CTR","رابحة — حافظ وحسّن"),"تحت التعادل — حسّن الصفحة/العرض أو أوقف"))))))</f>
        <v/>
      </c>
    </row>
    <row r="261" customFormat="false" ht="15" hidden="false" customHeight="false" outlineLevel="0" collapsed="false">
      <c r="A261" s="14"/>
      <c r="B261" s="14"/>
      <c r="C261" s="14"/>
      <c r="D261" s="14"/>
      <c r="E261" s="14"/>
      <c r="F261" s="14"/>
      <c r="G261" s="14"/>
      <c r="H261" s="19"/>
      <c r="I261" s="22"/>
      <c r="J261" s="22"/>
      <c r="K261" s="22"/>
      <c r="L261" s="22"/>
      <c r="M261" s="22"/>
      <c r="N261" s="22"/>
      <c r="O261" s="19"/>
      <c r="P261" s="23" t="str">
        <f aca="false">IF(I261&gt;0,K261/I261,"")</f>
        <v/>
      </c>
      <c r="Q261" s="20" t="str">
        <f aca="false">IF(K261&gt;0,H261/K261,"")</f>
        <v/>
      </c>
      <c r="R261" s="20" t="str">
        <f aca="false">IF(I261&gt;0,H261/I261*1000,"")</f>
        <v/>
      </c>
      <c r="S261" s="23" t="str">
        <f aca="false">IF(K261&gt;0,N261/K261,"")</f>
        <v/>
      </c>
      <c r="T261" s="20" t="str">
        <f aca="false">IF(N261&gt;0,H261/N261,"")</f>
        <v/>
      </c>
      <c r="U261" s="18" t="str">
        <f aca="false">IF(H261&gt;0,O261/H261,"")</f>
        <v/>
      </c>
      <c r="V261" s="20" t="str">
        <f aca="false">IF(N261&gt;0,O261/N261,"")</f>
        <v/>
      </c>
      <c r="W261" s="20" t="str">
        <f aca="false">IF(H261&gt;0,O261*الإعدادات!$B$5-H261,"")</f>
        <v/>
      </c>
      <c r="X261" s="23" t="str">
        <f aca="false">IF(AND(I261&gt;0,A261&lt;&gt;""),P261-IFERROR(INDEX(الإعدادات!$B$15:$B$18,MATCH(A261,الإعدادات!$A$15:$A$18,0)),0),"")</f>
        <v/>
      </c>
      <c r="Y261" s="12" t="str">
        <f aca="false">IF(H261="","",IF(H261&lt;الإعدادات!$B$9,"بيانات غير كافية — انتظر",IF(N261=0,"إيقاف أو إعادة بناء (إنفاق بلا مبيعات)",IF(H261/N261&gt;الإعدادات!$B$8*1.5,"خفض الميزانية + اختبار إبداعات جديدة",IF(O261/H261&gt;=الإعدادات!$B$6*1.2,"توسيع الميزانية تدريجياً",IF(O261/H261&gt;=الإعدادات!$B$7,IF(AND(X261&lt;&gt;"",X261&lt;0),"رابحة — حدّث الإبداعات لرفع CTR","رابحة — حافظ وحسّن"),"تحت التعادل — حسّن الصفحة/العرض أو أوقف"))))))</f>
        <v/>
      </c>
    </row>
    <row r="262" customFormat="false" ht="15" hidden="false" customHeight="false" outlineLevel="0" collapsed="false">
      <c r="A262" s="14"/>
      <c r="B262" s="14"/>
      <c r="C262" s="14"/>
      <c r="D262" s="14"/>
      <c r="E262" s="14"/>
      <c r="F262" s="14"/>
      <c r="G262" s="14"/>
      <c r="H262" s="19"/>
      <c r="I262" s="22"/>
      <c r="J262" s="22"/>
      <c r="K262" s="22"/>
      <c r="L262" s="22"/>
      <c r="M262" s="22"/>
      <c r="N262" s="22"/>
      <c r="O262" s="19"/>
      <c r="P262" s="23" t="str">
        <f aca="false">IF(I262&gt;0,K262/I262,"")</f>
        <v/>
      </c>
      <c r="Q262" s="20" t="str">
        <f aca="false">IF(K262&gt;0,H262/K262,"")</f>
        <v/>
      </c>
      <c r="R262" s="20" t="str">
        <f aca="false">IF(I262&gt;0,H262/I262*1000,"")</f>
        <v/>
      </c>
      <c r="S262" s="23" t="str">
        <f aca="false">IF(K262&gt;0,N262/K262,"")</f>
        <v/>
      </c>
      <c r="T262" s="20" t="str">
        <f aca="false">IF(N262&gt;0,H262/N262,"")</f>
        <v/>
      </c>
      <c r="U262" s="18" t="str">
        <f aca="false">IF(H262&gt;0,O262/H262,"")</f>
        <v/>
      </c>
      <c r="V262" s="20" t="str">
        <f aca="false">IF(N262&gt;0,O262/N262,"")</f>
        <v/>
      </c>
      <c r="W262" s="20" t="str">
        <f aca="false">IF(H262&gt;0,O262*الإعدادات!$B$5-H262,"")</f>
        <v/>
      </c>
      <c r="X262" s="23" t="str">
        <f aca="false">IF(AND(I262&gt;0,A262&lt;&gt;""),P262-IFERROR(INDEX(الإعدادات!$B$15:$B$18,MATCH(A262,الإعدادات!$A$15:$A$18,0)),0),"")</f>
        <v/>
      </c>
      <c r="Y262" s="12" t="str">
        <f aca="false">IF(H262="","",IF(H262&lt;الإعدادات!$B$9,"بيانات غير كافية — انتظر",IF(N262=0,"إيقاف أو إعادة بناء (إنفاق بلا مبيعات)",IF(H262/N262&gt;الإعدادات!$B$8*1.5,"خفض الميزانية + اختبار إبداعات جديدة",IF(O262/H262&gt;=الإعدادات!$B$6*1.2,"توسيع الميزانية تدريجياً",IF(O262/H262&gt;=الإعدادات!$B$7,IF(AND(X262&lt;&gt;"",X262&lt;0),"رابحة — حدّث الإبداعات لرفع CTR","رابحة — حافظ وحسّن"),"تحت التعادل — حسّن الصفحة/العرض أو أوقف"))))))</f>
        <v/>
      </c>
    </row>
    <row r="263" customFormat="false" ht="15" hidden="false" customHeight="false" outlineLevel="0" collapsed="false">
      <c r="A263" s="14"/>
      <c r="B263" s="14"/>
      <c r="C263" s="14"/>
      <c r="D263" s="14"/>
      <c r="E263" s="14"/>
      <c r="F263" s="14"/>
      <c r="G263" s="14"/>
      <c r="H263" s="19"/>
      <c r="I263" s="22"/>
      <c r="J263" s="22"/>
      <c r="K263" s="22"/>
      <c r="L263" s="22"/>
      <c r="M263" s="22"/>
      <c r="N263" s="22"/>
      <c r="O263" s="19"/>
      <c r="P263" s="23" t="str">
        <f aca="false">IF(I263&gt;0,K263/I263,"")</f>
        <v/>
      </c>
      <c r="Q263" s="20" t="str">
        <f aca="false">IF(K263&gt;0,H263/K263,"")</f>
        <v/>
      </c>
      <c r="R263" s="20" t="str">
        <f aca="false">IF(I263&gt;0,H263/I263*1000,"")</f>
        <v/>
      </c>
      <c r="S263" s="23" t="str">
        <f aca="false">IF(K263&gt;0,N263/K263,"")</f>
        <v/>
      </c>
      <c r="T263" s="20" t="str">
        <f aca="false">IF(N263&gt;0,H263/N263,"")</f>
        <v/>
      </c>
      <c r="U263" s="18" t="str">
        <f aca="false">IF(H263&gt;0,O263/H263,"")</f>
        <v/>
      </c>
      <c r="V263" s="20" t="str">
        <f aca="false">IF(N263&gt;0,O263/N263,"")</f>
        <v/>
      </c>
      <c r="W263" s="20" t="str">
        <f aca="false">IF(H263&gt;0,O263*الإعدادات!$B$5-H263,"")</f>
        <v/>
      </c>
      <c r="X263" s="23" t="str">
        <f aca="false">IF(AND(I263&gt;0,A263&lt;&gt;""),P263-IFERROR(INDEX(الإعدادات!$B$15:$B$18,MATCH(A263,الإعدادات!$A$15:$A$18,0)),0),"")</f>
        <v/>
      </c>
      <c r="Y263" s="12" t="str">
        <f aca="false">IF(H263="","",IF(H263&lt;الإعدادات!$B$9,"بيانات غير كافية — انتظر",IF(N263=0,"إيقاف أو إعادة بناء (إنفاق بلا مبيعات)",IF(H263/N263&gt;الإعدادات!$B$8*1.5,"خفض الميزانية + اختبار إبداعات جديدة",IF(O263/H263&gt;=الإعدادات!$B$6*1.2,"توسيع الميزانية تدريجياً",IF(O263/H263&gt;=الإعدادات!$B$7,IF(AND(X263&lt;&gt;"",X263&lt;0),"رابحة — حدّث الإبداعات لرفع CTR","رابحة — حافظ وحسّن"),"تحت التعادل — حسّن الصفحة/العرض أو أوقف"))))))</f>
        <v/>
      </c>
    </row>
    <row r="264" customFormat="false" ht="15" hidden="false" customHeight="false" outlineLevel="0" collapsed="false">
      <c r="A264" s="14"/>
      <c r="B264" s="14"/>
      <c r="C264" s="14"/>
      <c r="D264" s="14"/>
      <c r="E264" s="14"/>
      <c r="F264" s="14"/>
      <c r="G264" s="14"/>
      <c r="H264" s="19"/>
      <c r="I264" s="22"/>
      <c r="J264" s="22"/>
      <c r="K264" s="22"/>
      <c r="L264" s="22"/>
      <c r="M264" s="22"/>
      <c r="N264" s="22"/>
      <c r="O264" s="19"/>
      <c r="P264" s="23" t="str">
        <f aca="false">IF(I264&gt;0,K264/I264,"")</f>
        <v/>
      </c>
      <c r="Q264" s="20" t="str">
        <f aca="false">IF(K264&gt;0,H264/K264,"")</f>
        <v/>
      </c>
      <c r="R264" s="20" t="str">
        <f aca="false">IF(I264&gt;0,H264/I264*1000,"")</f>
        <v/>
      </c>
      <c r="S264" s="23" t="str">
        <f aca="false">IF(K264&gt;0,N264/K264,"")</f>
        <v/>
      </c>
      <c r="T264" s="20" t="str">
        <f aca="false">IF(N264&gt;0,H264/N264,"")</f>
        <v/>
      </c>
      <c r="U264" s="18" t="str">
        <f aca="false">IF(H264&gt;0,O264/H264,"")</f>
        <v/>
      </c>
      <c r="V264" s="20" t="str">
        <f aca="false">IF(N264&gt;0,O264/N264,"")</f>
        <v/>
      </c>
      <c r="W264" s="20" t="str">
        <f aca="false">IF(H264&gt;0,O264*الإعدادات!$B$5-H264,"")</f>
        <v/>
      </c>
      <c r="X264" s="23" t="str">
        <f aca="false">IF(AND(I264&gt;0,A264&lt;&gt;""),P264-IFERROR(INDEX(الإعدادات!$B$15:$B$18,MATCH(A264,الإعدادات!$A$15:$A$18,0)),0),"")</f>
        <v/>
      </c>
      <c r="Y264" s="12" t="str">
        <f aca="false">IF(H264="","",IF(H264&lt;الإعدادات!$B$9,"بيانات غير كافية — انتظر",IF(N264=0,"إيقاف أو إعادة بناء (إنفاق بلا مبيعات)",IF(H264/N264&gt;الإعدادات!$B$8*1.5,"خفض الميزانية + اختبار إبداعات جديدة",IF(O264/H264&gt;=الإعدادات!$B$6*1.2,"توسيع الميزانية تدريجياً",IF(O264/H264&gt;=الإعدادات!$B$7,IF(AND(X264&lt;&gt;"",X264&lt;0),"رابحة — حدّث الإبداعات لرفع CTR","رابحة — حافظ وحسّن"),"تحت التعادل — حسّن الصفحة/العرض أو أوقف"))))))</f>
        <v/>
      </c>
    </row>
    <row r="265" customFormat="false" ht="15" hidden="false" customHeight="false" outlineLevel="0" collapsed="false">
      <c r="A265" s="14"/>
      <c r="B265" s="14"/>
      <c r="C265" s="14"/>
      <c r="D265" s="14"/>
      <c r="E265" s="14"/>
      <c r="F265" s="14"/>
      <c r="G265" s="14"/>
      <c r="H265" s="19"/>
      <c r="I265" s="22"/>
      <c r="J265" s="22"/>
      <c r="K265" s="22"/>
      <c r="L265" s="22"/>
      <c r="M265" s="22"/>
      <c r="N265" s="22"/>
      <c r="O265" s="19"/>
      <c r="P265" s="23" t="str">
        <f aca="false">IF(I265&gt;0,K265/I265,"")</f>
        <v/>
      </c>
      <c r="Q265" s="20" t="str">
        <f aca="false">IF(K265&gt;0,H265/K265,"")</f>
        <v/>
      </c>
      <c r="R265" s="20" t="str">
        <f aca="false">IF(I265&gt;0,H265/I265*1000,"")</f>
        <v/>
      </c>
      <c r="S265" s="23" t="str">
        <f aca="false">IF(K265&gt;0,N265/K265,"")</f>
        <v/>
      </c>
      <c r="T265" s="20" t="str">
        <f aca="false">IF(N265&gt;0,H265/N265,"")</f>
        <v/>
      </c>
      <c r="U265" s="18" t="str">
        <f aca="false">IF(H265&gt;0,O265/H265,"")</f>
        <v/>
      </c>
      <c r="V265" s="20" t="str">
        <f aca="false">IF(N265&gt;0,O265/N265,"")</f>
        <v/>
      </c>
      <c r="W265" s="20" t="str">
        <f aca="false">IF(H265&gt;0,O265*الإعدادات!$B$5-H265,"")</f>
        <v/>
      </c>
      <c r="X265" s="23" t="str">
        <f aca="false">IF(AND(I265&gt;0,A265&lt;&gt;""),P265-IFERROR(INDEX(الإعدادات!$B$15:$B$18,MATCH(A265,الإعدادات!$A$15:$A$18,0)),0),"")</f>
        <v/>
      </c>
      <c r="Y265" s="12" t="str">
        <f aca="false">IF(H265="","",IF(H265&lt;الإعدادات!$B$9,"بيانات غير كافية — انتظر",IF(N265=0,"إيقاف أو إعادة بناء (إنفاق بلا مبيعات)",IF(H265/N265&gt;الإعدادات!$B$8*1.5,"خفض الميزانية + اختبار إبداعات جديدة",IF(O265/H265&gt;=الإعدادات!$B$6*1.2,"توسيع الميزانية تدريجياً",IF(O265/H265&gt;=الإعدادات!$B$7,IF(AND(X265&lt;&gt;"",X265&lt;0),"رابحة — حدّث الإبداعات لرفع CTR","رابحة — حافظ وحسّن"),"تحت التعادل — حسّن الصفحة/العرض أو أوقف"))))))</f>
        <v/>
      </c>
    </row>
    <row r="266" customFormat="false" ht="15" hidden="false" customHeight="false" outlineLevel="0" collapsed="false">
      <c r="A266" s="14"/>
      <c r="B266" s="14"/>
      <c r="C266" s="14"/>
      <c r="D266" s="14"/>
      <c r="E266" s="14"/>
      <c r="F266" s="14"/>
      <c r="G266" s="14"/>
      <c r="H266" s="19"/>
      <c r="I266" s="22"/>
      <c r="J266" s="22"/>
      <c r="K266" s="22"/>
      <c r="L266" s="22"/>
      <c r="M266" s="22"/>
      <c r="N266" s="22"/>
      <c r="O266" s="19"/>
      <c r="P266" s="23" t="str">
        <f aca="false">IF(I266&gt;0,K266/I266,"")</f>
        <v/>
      </c>
      <c r="Q266" s="20" t="str">
        <f aca="false">IF(K266&gt;0,H266/K266,"")</f>
        <v/>
      </c>
      <c r="R266" s="20" t="str">
        <f aca="false">IF(I266&gt;0,H266/I266*1000,"")</f>
        <v/>
      </c>
      <c r="S266" s="23" t="str">
        <f aca="false">IF(K266&gt;0,N266/K266,"")</f>
        <v/>
      </c>
      <c r="T266" s="20" t="str">
        <f aca="false">IF(N266&gt;0,H266/N266,"")</f>
        <v/>
      </c>
      <c r="U266" s="18" t="str">
        <f aca="false">IF(H266&gt;0,O266/H266,"")</f>
        <v/>
      </c>
      <c r="V266" s="20" t="str">
        <f aca="false">IF(N266&gt;0,O266/N266,"")</f>
        <v/>
      </c>
      <c r="W266" s="20" t="str">
        <f aca="false">IF(H266&gt;0,O266*الإعدادات!$B$5-H266,"")</f>
        <v/>
      </c>
      <c r="X266" s="23" t="str">
        <f aca="false">IF(AND(I266&gt;0,A266&lt;&gt;""),P266-IFERROR(INDEX(الإعدادات!$B$15:$B$18,MATCH(A266,الإعدادات!$A$15:$A$18,0)),0),"")</f>
        <v/>
      </c>
      <c r="Y266" s="12" t="str">
        <f aca="false">IF(H266="","",IF(H266&lt;الإعدادات!$B$9,"بيانات غير كافية — انتظر",IF(N266=0,"إيقاف أو إعادة بناء (إنفاق بلا مبيعات)",IF(H266/N266&gt;الإعدادات!$B$8*1.5,"خفض الميزانية + اختبار إبداعات جديدة",IF(O266/H266&gt;=الإعدادات!$B$6*1.2,"توسيع الميزانية تدريجياً",IF(O266/H266&gt;=الإعدادات!$B$7,IF(AND(X266&lt;&gt;"",X266&lt;0),"رابحة — حدّث الإبداعات لرفع CTR","رابحة — حافظ وحسّن"),"تحت التعادل — حسّن الصفحة/العرض أو أوقف"))))))</f>
        <v/>
      </c>
    </row>
    <row r="267" customFormat="false" ht="15" hidden="false" customHeight="false" outlineLevel="0" collapsed="false">
      <c r="A267" s="14"/>
      <c r="B267" s="14"/>
      <c r="C267" s="14"/>
      <c r="D267" s="14"/>
      <c r="E267" s="14"/>
      <c r="F267" s="14"/>
      <c r="G267" s="14"/>
      <c r="H267" s="19"/>
      <c r="I267" s="22"/>
      <c r="J267" s="22"/>
      <c r="K267" s="22"/>
      <c r="L267" s="22"/>
      <c r="M267" s="22"/>
      <c r="N267" s="22"/>
      <c r="O267" s="19"/>
      <c r="P267" s="23" t="str">
        <f aca="false">IF(I267&gt;0,K267/I267,"")</f>
        <v/>
      </c>
      <c r="Q267" s="20" t="str">
        <f aca="false">IF(K267&gt;0,H267/K267,"")</f>
        <v/>
      </c>
      <c r="R267" s="20" t="str">
        <f aca="false">IF(I267&gt;0,H267/I267*1000,"")</f>
        <v/>
      </c>
      <c r="S267" s="23" t="str">
        <f aca="false">IF(K267&gt;0,N267/K267,"")</f>
        <v/>
      </c>
      <c r="T267" s="20" t="str">
        <f aca="false">IF(N267&gt;0,H267/N267,"")</f>
        <v/>
      </c>
      <c r="U267" s="18" t="str">
        <f aca="false">IF(H267&gt;0,O267/H267,"")</f>
        <v/>
      </c>
      <c r="V267" s="20" t="str">
        <f aca="false">IF(N267&gt;0,O267/N267,"")</f>
        <v/>
      </c>
      <c r="W267" s="20" t="str">
        <f aca="false">IF(H267&gt;0,O267*الإعدادات!$B$5-H267,"")</f>
        <v/>
      </c>
      <c r="X267" s="23" t="str">
        <f aca="false">IF(AND(I267&gt;0,A267&lt;&gt;""),P267-IFERROR(INDEX(الإعدادات!$B$15:$B$18,MATCH(A267,الإعدادات!$A$15:$A$18,0)),0),"")</f>
        <v/>
      </c>
      <c r="Y267" s="12" t="str">
        <f aca="false">IF(H267="","",IF(H267&lt;الإعدادات!$B$9,"بيانات غير كافية — انتظر",IF(N267=0,"إيقاف أو إعادة بناء (إنفاق بلا مبيعات)",IF(H267/N267&gt;الإعدادات!$B$8*1.5,"خفض الميزانية + اختبار إبداعات جديدة",IF(O267/H267&gt;=الإعدادات!$B$6*1.2,"توسيع الميزانية تدريجياً",IF(O267/H267&gt;=الإعدادات!$B$7,IF(AND(X267&lt;&gt;"",X267&lt;0),"رابحة — حدّث الإبداعات لرفع CTR","رابحة — حافظ وحسّن"),"تحت التعادل — حسّن الصفحة/العرض أو أوقف"))))))</f>
        <v/>
      </c>
    </row>
    <row r="268" customFormat="false" ht="15" hidden="false" customHeight="false" outlineLevel="0" collapsed="false">
      <c r="A268" s="14"/>
      <c r="B268" s="14"/>
      <c r="C268" s="14"/>
      <c r="D268" s="14"/>
      <c r="E268" s="14"/>
      <c r="F268" s="14"/>
      <c r="G268" s="14"/>
      <c r="H268" s="19"/>
      <c r="I268" s="22"/>
      <c r="J268" s="22"/>
      <c r="K268" s="22"/>
      <c r="L268" s="22"/>
      <c r="M268" s="22"/>
      <c r="N268" s="22"/>
      <c r="O268" s="19"/>
      <c r="P268" s="23" t="str">
        <f aca="false">IF(I268&gt;0,K268/I268,"")</f>
        <v/>
      </c>
      <c r="Q268" s="20" t="str">
        <f aca="false">IF(K268&gt;0,H268/K268,"")</f>
        <v/>
      </c>
      <c r="R268" s="20" t="str">
        <f aca="false">IF(I268&gt;0,H268/I268*1000,"")</f>
        <v/>
      </c>
      <c r="S268" s="23" t="str">
        <f aca="false">IF(K268&gt;0,N268/K268,"")</f>
        <v/>
      </c>
      <c r="T268" s="20" t="str">
        <f aca="false">IF(N268&gt;0,H268/N268,"")</f>
        <v/>
      </c>
      <c r="U268" s="18" t="str">
        <f aca="false">IF(H268&gt;0,O268/H268,"")</f>
        <v/>
      </c>
      <c r="V268" s="20" t="str">
        <f aca="false">IF(N268&gt;0,O268/N268,"")</f>
        <v/>
      </c>
      <c r="W268" s="20" t="str">
        <f aca="false">IF(H268&gt;0,O268*الإعدادات!$B$5-H268,"")</f>
        <v/>
      </c>
      <c r="X268" s="23" t="str">
        <f aca="false">IF(AND(I268&gt;0,A268&lt;&gt;""),P268-IFERROR(INDEX(الإعدادات!$B$15:$B$18,MATCH(A268,الإعدادات!$A$15:$A$18,0)),0),"")</f>
        <v/>
      </c>
      <c r="Y268" s="12" t="str">
        <f aca="false">IF(H268="","",IF(H268&lt;الإعدادات!$B$9,"بيانات غير كافية — انتظر",IF(N268=0,"إيقاف أو إعادة بناء (إنفاق بلا مبيعات)",IF(H268/N268&gt;الإعدادات!$B$8*1.5,"خفض الميزانية + اختبار إبداعات جديدة",IF(O268/H268&gt;=الإعدادات!$B$6*1.2,"توسيع الميزانية تدريجياً",IF(O268/H268&gt;=الإعدادات!$B$7,IF(AND(X268&lt;&gt;"",X268&lt;0),"رابحة — حدّث الإبداعات لرفع CTR","رابحة — حافظ وحسّن"),"تحت التعادل — حسّن الصفحة/العرض أو أوقف"))))))</f>
        <v/>
      </c>
    </row>
    <row r="269" customFormat="false" ht="15" hidden="false" customHeight="false" outlineLevel="0" collapsed="false">
      <c r="A269" s="14"/>
      <c r="B269" s="14"/>
      <c r="C269" s="14"/>
      <c r="D269" s="14"/>
      <c r="E269" s="14"/>
      <c r="F269" s="14"/>
      <c r="G269" s="14"/>
      <c r="H269" s="19"/>
      <c r="I269" s="22"/>
      <c r="J269" s="22"/>
      <c r="K269" s="22"/>
      <c r="L269" s="22"/>
      <c r="M269" s="22"/>
      <c r="N269" s="22"/>
      <c r="O269" s="19"/>
      <c r="P269" s="23" t="str">
        <f aca="false">IF(I269&gt;0,K269/I269,"")</f>
        <v/>
      </c>
      <c r="Q269" s="20" t="str">
        <f aca="false">IF(K269&gt;0,H269/K269,"")</f>
        <v/>
      </c>
      <c r="R269" s="20" t="str">
        <f aca="false">IF(I269&gt;0,H269/I269*1000,"")</f>
        <v/>
      </c>
      <c r="S269" s="23" t="str">
        <f aca="false">IF(K269&gt;0,N269/K269,"")</f>
        <v/>
      </c>
      <c r="T269" s="20" t="str">
        <f aca="false">IF(N269&gt;0,H269/N269,"")</f>
        <v/>
      </c>
      <c r="U269" s="18" t="str">
        <f aca="false">IF(H269&gt;0,O269/H269,"")</f>
        <v/>
      </c>
      <c r="V269" s="20" t="str">
        <f aca="false">IF(N269&gt;0,O269/N269,"")</f>
        <v/>
      </c>
      <c r="W269" s="20" t="str">
        <f aca="false">IF(H269&gt;0,O269*الإعدادات!$B$5-H269,"")</f>
        <v/>
      </c>
      <c r="X269" s="23" t="str">
        <f aca="false">IF(AND(I269&gt;0,A269&lt;&gt;""),P269-IFERROR(INDEX(الإعدادات!$B$15:$B$18,MATCH(A269,الإعدادات!$A$15:$A$18,0)),0),"")</f>
        <v/>
      </c>
      <c r="Y269" s="12" t="str">
        <f aca="false">IF(H269="","",IF(H269&lt;الإعدادات!$B$9,"بيانات غير كافية — انتظر",IF(N269=0,"إيقاف أو إعادة بناء (إنفاق بلا مبيعات)",IF(H269/N269&gt;الإعدادات!$B$8*1.5,"خفض الميزانية + اختبار إبداعات جديدة",IF(O269/H269&gt;=الإعدادات!$B$6*1.2,"توسيع الميزانية تدريجياً",IF(O269/H269&gt;=الإعدادات!$B$7,IF(AND(X269&lt;&gt;"",X269&lt;0),"رابحة — حدّث الإبداعات لرفع CTR","رابحة — حافظ وحسّن"),"تحت التعادل — حسّن الصفحة/العرض أو أوقف"))))))</f>
        <v/>
      </c>
    </row>
    <row r="270" customFormat="false" ht="15" hidden="false" customHeight="false" outlineLevel="0" collapsed="false">
      <c r="A270" s="14"/>
      <c r="B270" s="14"/>
      <c r="C270" s="14"/>
      <c r="D270" s="14"/>
      <c r="E270" s="14"/>
      <c r="F270" s="14"/>
      <c r="G270" s="14"/>
      <c r="H270" s="19"/>
      <c r="I270" s="22"/>
      <c r="J270" s="22"/>
      <c r="K270" s="22"/>
      <c r="L270" s="22"/>
      <c r="M270" s="22"/>
      <c r="N270" s="22"/>
      <c r="O270" s="19"/>
      <c r="P270" s="23" t="str">
        <f aca="false">IF(I270&gt;0,K270/I270,"")</f>
        <v/>
      </c>
      <c r="Q270" s="20" t="str">
        <f aca="false">IF(K270&gt;0,H270/K270,"")</f>
        <v/>
      </c>
      <c r="R270" s="20" t="str">
        <f aca="false">IF(I270&gt;0,H270/I270*1000,"")</f>
        <v/>
      </c>
      <c r="S270" s="23" t="str">
        <f aca="false">IF(K270&gt;0,N270/K270,"")</f>
        <v/>
      </c>
      <c r="T270" s="20" t="str">
        <f aca="false">IF(N270&gt;0,H270/N270,"")</f>
        <v/>
      </c>
      <c r="U270" s="18" t="str">
        <f aca="false">IF(H270&gt;0,O270/H270,"")</f>
        <v/>
      </c>
      <c r="V270" s="20" t="str">
        <f aca="false">IF(N270&gt;0,O270/N270,"")</f>
        <v/>
      </c>
      <c r="W270" s="20" t="str">
        <f aca="false">IF(H270&gt;0,O270*الإعدادات!$B$5-H270,"")</f>
        <v/>
      </c>
      <c r="X270" s="23" t="str">
        <f aca="false">IF(AND(I270&gt;0,A270&lt;&gt;""),P270-IFERROR(INDEX(الإعدادات!$B$15:$B$18,MATCH(A270,الإعدادات!$A$15:$A$18,0)),0),"")</f>
        <v/>
      </c>
      <c r="Y270" s="12" t="str">
        <f aca="false">IF(H270="","",IF(H270&lt;الإعدادات!$B$9,"بيانات غير كافية — انتظر",IF(N270=0,"إيقاف أو إعادة بناء (إنفاق بلا مبيعات)",IF(H270/N270&gt;الإعدادات!$B$8*1.5,"خفض الميزانية + اختبار إبداعات جديدة",IF(O270/H270&gt;=الإعدادات!$B$6*1.2,"توسيع الميزانية تدريجياً",IF(O270/H270&gt;=الإعدادات!$B$7,IF(AND(X270&lt;&gt;"",X270&lt;0),"رابحة — حدّث الإبداعات لرفع CTR","رابحة — حافظ وحسّن"),"تحت التعادل — حسّن الصفحة/العرض أو أوقف"))))))</f>
        <v/>
      </c>
    </row>
    <row r="271" customFormat="false" ht="15" hidden="false" customHeight="false" outlineLevel="0" collapsed="false">
      <c r="A271" s="14"/>
      <c r="B271" s="14"/>
      <c r="C271" s="14"/>
      <c r="D271" s="14"/>
      <c r="E271" s="14"/>
      <c r="F271" s="14"/>
      <c r="G271" s="14"/>
      <c r="H271" s="19"/>
      <c r="I271" s="22"/>
      <c r="J271" s="22"/>
      <c r="K271" s="22"/>
      <c r="L271" s="22"/>
      <c r="M271" s="22"/>
      <c r="N271" s="22"/>
      <c r="O271" s="19"/>
      <c r="P271" s="23" t="str">
        <f aca="false">IF(I271&gt;0,K271/I271,"")</f>
        <v/>
      </c>
      <c r="Q271" s="20" t="str">
        <f aca="false">IF(K271&gt;0,H271/K271,"")</f>
        <v/>
      </c>
      <c r="R271" s="20" t="str">
        <f aca="false">IF(I271&gt;0,H271/I271*1000,"")</f>
        <v/>
      </c>
      <c r="S271" s="23" t="str">
        <f aca="false">IF(K271&gt;0,N271/K271,"")</f>
        <v/>
      </c>
      <c r="T271" s="20" t="str">
        <f aca="false">IF(N271&gt;0,H271/N271,"")</f>
        <v/>
      </c>
      <c r="U271" s="18" t="str">
        <f aca="false">IF(H271&gt;0,O271/H271,"")</f>
        <v/>
      </c>
      <c r="V271" s="20" t="str">
        <f aca="false">IF(N271&gt;0,O271/N271,"")</f>
        <v/>
      </c>
      <c r="W271" s="20" t="str">
        <f aca="false">IF(H271&gt;0,O271*الإعدادات!$B$5-H271,"")</f>
        <v/>
      </c>
      <c r="X271" s="23" t="str">
        <f aca="false">IF(AND(I271&gt;0,A271&lt;&gt;""),P271-IFERROR(INDEX(الإعدادات!$B$15:$B$18,MATCH(A271,الإعدادات!$A$15:$A$18,0)),0),"")</f>
        <v/>
      </c>
      <c r="Y271" s="12" t="str">
        <f aca="false">IF(H271="","",IF(H271&lt;الإعدادات!$B$9,"بيانات غير كافية — انتظر",IF(N271=0,"إيقاف أو إعادة بناء (إنفاق بلا مبيعات)",IF(H271/N271&gt;الإعدادات!$B$8*1.5,"خفض الميزانية + اختبار إبداعات جديدة",IF(O271/H271&gt;=الإعدادات!$B$6*1.2,"توسيع الميزانية تدريجياً",IF(O271/H271&gt;=الإعدادات!$B$7,IF(AND(X271&lt;&gt;"",X271&lt;0),"رابحة — حدّث الإبداعات لرفع CTR","رابحة — حافظ وحسّن"),"تحت التعادل — حسّن الصفحة/العرض أو أوقف"))))))</f>
        <v/>
      </c>
    </row>
    <row r="272" customFormat="false" ht="15" hidden="false" customHeight="false" outlineLevel="0" collapsed="false">
      <c r="A272" s="14"/>
      <c r="B272" s="14"/>
      <c r="C272" s="14"/>
      <c r="D272" s="14"/>
      <c r="E272" s="14"/>
      <c r="F272" s="14"/>
      <c r="G272" s="14"/>
      <c r="H272" s="19"/>
      <c r="I272" s="22"/>
      <c r="J272" s="22"/>
      <c r="K272" s="22"/>
      <c r="L272" s="22"/>
      <c r="M272" s="22"/>
      <c r="N272" s="22"/>
      <c r="O272" s="19"/>
      <c r="P272" s="23" t="str">
        <f aca="false">IF(I272&gt;0,K272/I272,"")</f>
        <v/>
      </c>
      <c r="Q272" s="20" t="str">
        <f aca="false">IF(K272&gt;0,H272/K272,"")</f>
        <v/>
      </c>
      <c r="R272" s="20" t="str">
        <f aca="false">IF(I272&gt;0,H272/I272*1000,"")</f>
        <v/>
      </c>
      <c r="S272" s="23" t="str">
        <f aca="false">IF(K272&gt;0,N272/K272,"")</f>
        <v/>
      </c>
      <c r="T272" s="20" t="str">
        <f aca="false">IF(N272&gt;0,H272/N272,"")</f>
        <v/>
      </c>
      <c r="U272" s="18" t="str">
        <f aca="false">IF(H272&gt;0,O272/H272,"")</f>
        <v/>
      </c>
      <c r="V272" s="20" t="str">
        <f aca="false">IF(N272&gt;0,O272/N272,"")</f>
        <v/>
      </c>
      <c r="W272" s="20" t="str">
        <f aca="false">IF(H272&gt;0,O272*الإعدادات!$B$5-H272,"")</f>
        <v/>
      </c>
      <c r="X272" s="23" t="str">
        <f aca="false">IF(AND(I272&gt;0,A272&lt;&gt;""),P272-IFERROR(INDEX(الإعدادات!$B$15:$B$18,MATCH(A272,الإعدادات!$A$15:$A$18,0)),0),"")</f>
        <v/>
      </c>
      <c r="Y272" s="12" t="str">
        <f aca="false">IF(H272="","",IF(H272&lt;الإعدادات!$B$9,"بيانات غير كافية — انتظر",IF(N272=0,"إيقاف أو إعادة بناء (إنفاق بلا مبيعات)",IF(H272/N272&gt;الإعدادات!$B$8*1.5,"خفض الميزانية + اختبار إبداعات جديدة",IF(O272/H272&gt;=الإعدادات!$B$6*1.2,"توسيع الميزانية تدريجياً",IF(O272/H272&gt;=الإعدادات!$B$7,IF(AND(X272&lt;&gt;"",X272&lt;0),"رابحة — حدّث الإبداعات لرفع CTR","رابحة — حافظ وحسّن"),"تحت التعادل — حسّن الصفحة/العرض أو أوقف"))))))</f>
        <v/>
      </c>
    </row>
    <row r="273" customFormat="false" ht="15" hidden="false" customHeight="false" outlineLevel="0" collapsed="false">
      <c r="A273" s="14"/>
      <c r="B273" s="14"/>
      <c r="C273" s="14"/>
      <c r="D273" s="14"/>
      <c r="E273" s="14"/>
      <c r="F273" s="14"/>
      <c r="G273" s="14"/>
      <c r="H273" s="19"/>
      <c r="I273" s="22"/>
      <c r="J273" s="22"/>
      <c r="K273" s="22"/>
      <c r="L273" s="22"/>
      <c r="M273" s="22"/>
      <c r="N273" s="22"/>
      <c r="O273" s="19"/>
      <c r="P273" s="23" t="str">
        <f aca="false">IF(I273&gt;0,K273/I273,"")</f>
        <v/>
      </c>
      <c r="Q273" s="20" t="str">
        <f aca="false">IF(K273&gt;0,H273/K273,"")</f>
        <v/>
      </c>
      <c r="R273" s="20" t="str">
        <f aca="false">IF(I273&gt;0,H273/I273*1000,"")</f>
        <v/>
      </c>
      <c r="S273" s="23" t="str">
        <f aca="false">IF(K273&gt;0,N273/K273,"")</f>
        <v/>
      </c>
      <c r="T273" s="20" t="str">
        <f aca="false">IF(N273&gt;0,H273/N273,"")</f>
        <v/>
      </c>
      <c r="U273" s="18" t="str">
        <f aca="false">IF(H273&gt;0,O273/H273,"")</f>
        <v/>
      </c>
      <c r="V273" s="20" t="str">
        <f aca="false">IF(N273&gt;0,O273/N273,"")</f>
        <v/>
      </c>
      <c r="W273" s="20" t="str">
        <f aca="false">IF(H273&gt;0,O273*الإعدادات!$B$5-H273,"")</f>
        <v/>
      </c>
      <c r="X273" s="23" t="str">
        <f aca="false">IF(AND(I273&gt;0,A273&lt;&gt;""),P273-IFERROR(INDEX(الإعدادات!$B$15:$B$18,MATCH(A273,الإعدادات!$A$15:$A$18,0)),0),"")</f>
        <v/>
      </c>
      <c r="Y273" s="12" t="str">
        <f aca="false">IF(H273="","",IF(H273&lt;الإعدادات!$B$9,"بيانات غير كافية — انتظر",IF(N273=0,"إيقاف أو إعادة بناء (إنفاق بلا مبيعات)",IF(H273/N273&gt;الإعدادات!$B$8*1.5,"خفض الميزانية + اختبار إبداعات جديدة",IF(O273/H273&gt;=الإعدادات!$B$6*1.2,"توسيع الميزانية تدريجياً",IF(O273/H273&gt;=الإعدادات!$B$7,IF(AND(X273&lt;&gt;"",X273&lt;0),"رابحة — حدّث الإبداعات لرفع CTR","رابحة — حافظ وحسّن"),"تحت التعادل — حسّن الصفحة/العرض أو أوقف"))))))</f>
        <v/>
      </c>
    </row>
    <row r="274" customFormat="false" ht="15" hidden="false" customHeight="false" outlineLevel="0" collapsed="false">
      <c r="A274" s="14"/>
      <c r="B274" s="14"/>
      <c r="C274" s="14"/>
      <c r="D274" s="14"/>
      <c r="E274" s="14"/>
      <c r="F274" s="14"/>
      <c r="G274" s="14"/>
      <c r="H274" s="19"/>
      <c r="I274" s="22"/>
      <c r="J274" s="22"/>
      <c r="K274" s="22"/>
      <c r="L274" s="22"/>
      <c r="M274" s="22"/>
      <c r="N274" s="22"/>
      <c r="O274" s="19"/>
      <c r="P274" s="23" t="str">
        <f aca="false">IF(I274&gt;0,K274/I274,"")</f>
        <v/>
      </c>
      <c r="Q274" s="20" t="str">
        <f aca="false">IF(K274&gt;0,H274/K274,"")</f>
        <v/>
      </c>
      <c r="R274" s="20" t="str">
        <f aca="false">IF(I274&gt;0,H274/I274*1000,"")</f>
        <v/>
      </c>
      <c r="S274" s="23" t="str">
        <f aca="false">IF(K274&gt;0,N274/K274,"")</f>
        <v/>
      </c>
      <c r="T274" s="20" t="str">
        <f aca="false">IF(N274&gt;0,H274/N274,"")</f>
        <v/>
      </c>
      <c r="U274" s="18" t="str">
        <f aca="false">IF(H274&gt;0,O274/H274,"")</f>
        <v/>
      </c>
      <c r="V274" s="20" t="str">
        <f aca="false">IF(N274&gt;0,O274/N274,"")</f>
        <v/>
      </c>
      <c r="W274" s="20" t="str">
        <f aca="false">IF(H274&gt;0,O274*الإعدادات!$B$5-H274,"")</f>
        <v/>
      </c>
      <c r="X274" s="23" t="str">
        <f aca="false">IF(AND(I274&gt;0,A274&lt;&gt;""),P274-IFERROR(INDEX(الإعدادات!$B$15:$B$18,MATCH(A274,الإعدادات!$A$15:$A$18,0)),0),"")</f>
        <v/>
      </c>
      <c r="Y274" s="12" t="str">
        <f aca="false">IF(H274="","",IF(H274&lt;الإعدادات!$B$9,"بيانات غير كافية — انتظر",IF(N274=0,"إيقاف أو إعادة بناء (إنفاق بلا مبيعات)",IF(H274/N274&gt;الإعدادات!$B$8*1.5,"خفض الميزانية + اختبار إبداعات جديدة",IF(O274/H274&gt;=الإعدادات!$B$6*1.2,"توسيع الميزانية تدريجياً",IF(O274/H274&gt;=الإعدادات!$B$7,IF(AND(X274&lt;&gt;"",X274&lt;0),"رابحة — حدّث الإبداعات لرفع CTR","رابحة — حافظ وحسّن"),"تحت التعادل — حسّن الصفحة/العرض أو أوقف"))))))</f>
        <v/>
      </c>
    </row>
    <row r="275" customFormat="false" ht="15" hidden="false" customHeight="false" outlineLevel="0" collapsed="false">
      <c r="A275" s="14"/>
      <c r="B275" s="14"/>
      <c r="C275" s="14"/>
      <c r="D275" s="14"/>
      <c r="E275" s="14"/>
      <c r="F275" s="14"/>
      <c r="G275" s="14"/>
      <c r="H275" s="19"/>
      <c r="I275" s="22"/>
      <c r="J275" s="22"/>
      <c r="K275" s="22"/>
      <c r="L275" s="22"/>
      <c r="M275" s="22"/>
      <c r="N275" s="22"/>
      <c r="O275" s="19"/>
      <c r="P275" s="23" t="str">
        <f aca="false">IF(I275&gt;0,K275/I275,"")</f>
        <v/>
      </c>
      <c r="Q275" s="20" t="str">
        <f aca="false">IF(K275&gt;0,H275/K275,"")</f>
        <v/>
      </c>
      <c r="R275" s="20" t="str">
        <f aca="false">IF(I275&gt;0,H275/I275*1000,"")</f>
        <v/>
      </c>
      <c r="S275" s="23" t="str">
        <f aca="false">IF(K275&gt;0,N275/K275,"")</f>
        <v/>
      </c>
      <c r="T275" s="20" t="str">
        <f aca="false">IF(N275&gt;0,H275/N275,"")</f>
        <v/>
      </c>
      <c r="U275" s="18" t="str">
        <f aca="false">IF(H275&gt;0,O275/H275,"")</f>
        <v/>
      </c>
      <c r="V275" s="20" t="str">
        <f aca="false">IF(N275&gt;0,O275/N275,"")</f>
        <v/>
      </c>
      <c r="W275" s="20" t="str">
        <f aca="false">IF(H275&gt;0,O275*الإعدادات!$B$5-H275,"")</f>
        <v/>
      </c>
      <c r="X275" s="23" t="str">
        <f aca="false">IF(AND(I275&gt;0,A275&lt;&gt;""),P275-IFERROR(INDEX(الإعدادات!$B$15:$B$18,MATCH(A275,الإعدادات!$A$15:$A$18,0)),0),"")</f>
        <v/>
      </c>
      <c r="Y275" s="12" t="str">
        <f aca="false">IF(H275="","",IF(H275&lt;الإعدادات!$B$9,"بيانات غير كافية — انتظر",IF(N275=0,"إيقاف أو إعادة بناء (إنفاق بلا مبيعات)",IF(H275/N275&gt;الإعدادات!$B$8*1.5,"خفض الميزانية + اختبار إبداعات جديدة",IF(O275/H275&gt;=الإعدادات!$B$6*1.2,"توسيع الميزانية تدريجياً",IF(O275/H275&gt;=الإعدادات!$B$7,IF(AND(X275&lt;&gt;"",X275&lt;0),"رابحة — حدّث الإبداعات لرفع CTR","رابحة — حافظ وحسّن"),"تحت التعادل — حسّن الصفحة/العرض أو أوقف"))))))</f>
        <v/>
      </c>
    </row>
    <row r="276" customFormat="false" ht="15" hidden="false" customHeight="false" outlineLevel="0" collapsed="false">
      <c r="A276" s="14"/>
      <c r="B276" s="14"/>
      <c r="C276" s="14"/>
      <c r="D276" s="14"/>
      <c r="E276" s="14"/>
      <c r="F276" s="14"/>
      <c r="G276" s="14"/>
      <c r="H276" s="19"/>
      <c r="I276" s="22"/>
      <c r="J276" s="22"/>
      <c r="K276" s="22"/>
      <c r="L276" s="22"/>
      <c r="M276" s="22"/>
      <c r="N276" s="22"/>
      <c r="O276" s="19"/>
      <c r="P276" s="23" t="str">
        <f aca="false">IF(I276&gt;0,K276/I276,"")</f>
        <v/>
      </c>
      <c r="Q276" s="20" t="str">
        <f aca="false">IF(K276&gt;0,H276/K276,"")</f>
        <v/>
      </c>
      <c r="R276" s="20" t="str">
        <f aca="false">IF(I276&gt;0,H276/I276*1000,"")</f>
        <v/>
      </c>
      <c r="S276" s="23" t="str">
        <f aca="false">IF(K276&gt;0,N276/K276,"")</f>
        <v/>
      </c>
      <c r="T276" s="20" t="str">
        <f aca="false">IF(N276&gt;0,H276/N276,"")</f>
        <v/>
      </c>
      <c r="U276" s="18" t="str">
        <f aca="false">IF(H276&gt;0,O276/H276,"")</f>
        <v/>
      </c>
      <c r="V276" s="20" t="str">
        <f aca="false">IF(N276&gt;0,O276/N276,"")</f>
        <v/>
      </c>
      <c r="W276" s="20" t="str">
        <f aca="false">IF(H276&gt;0,O276*الإعدادات!$B$5-H276,"")</f>
        <v/>
      </c>
      <c r="X276" s="23" t="str">
        <f aca="false">IF(AND(I276&gt;0,A276&lt;&gt;""),P276-IFERROR(INDEX(الإعدادات!$B$15:$B$18,MATCH(A276,الإعدادات!$A$15:$A$18,0)),0),"")</f>
        <v/>
      </c>
      <c r="Y276" s="12" t="str">
        <f aca="false">IF(H276="","",IF(H276&lt;الإعدادات!$B$9,"بيانات غير كافية — انتظر",IF(N276=0,"إيقاف أو إعادة بناء (إنفاق بلا مبيعات)",IF(H276/N276&gt;الإعدادات!$B$8*1.5,"خفض الميزانية + اختبار إبداعات جديدة",IF(O276/H276&gt;=الإعدادات!$B$6*1.2,"توسيع الميزانية تدريجياً",IF(O276/H276&gt;=الإعدادات!$B$7,IF(AND(X276&lt;&gt;"",X276&lt;0),"رابحة — حدّث الإبداعات لرفع CTR","رابحة — حافظ وحسّن"),"تحت التعادل — حسّن الصفحة/العرض أو أوقف"))))))</f>
        <v/>
      </c>
    </row>
    <row r="277" customFormat="false" ht="15" hidden="false" customHeight="false" outlineLevel="0" collapsed="false">
      <c r="A277" s="14"/>
      <c r="B277" s="14"/>
      <c r="C277" s="14"/>
      <c r="D277" s="14"/>
      <c r="E277" s="14"/>
      <c r="F277" s="14"/>
      <c r="G277" s="14"/>
      <c r="H277" s="19"/>
      <c r="I277" s="22"/>
      <c r="J277" s="22"/>
      <c r="K277" s="22"/>
      <c r="L277" s="22"/>
      <c r="M277" s="22"/>
      <c r="N277" s="22"/>
      <c r="O277" s="19"/>
      <c r="P277" s="23" t="str">
        <f aca="false">IF(I277&gt;0,K277/I277,"")</f>
        <v/>
      </c>
      <c r="Q277" s="20" t="str">
        <f aca="false">IF(K277&gt;0,H277/K277,"")</f>
        <v/>
      </c>
      <c r="R277" s="20" t="str">
        <f aca="false">IF(I277&gt;0,H277/I277*1000,"")</f>
        <v/>
      </c>
      <c r="S277" s="23" t="str">
        <f aca="false">IF(K277&gt;0,N277/K277,"")</f>
        <v/>
      </c>
      <c r="T277" s="20" t="str">
        <f aca="false">IF(N277&gt;0,H277/N277,"")</f>
        <v/>
      </c>
      <c r="U277" s="18" t="str">
        <f aca="false">IF(H277&gt;0,O277/H277,"")</f>
        <v/>
      </c>
      <c r="V277" s="20" t="str">
        <f aca="false">IF(N277&gt;0,O277/N277,"")</f>
        <v/>
      </c>
      <c r="W277" s="20" t="str">
        <f aca="false">IF(H277&gt;0,O277*الإعدادات!$B$5-H277,"")</f>
        <v/>
      </c>
      <c r="X277" s="23" t="str">
        <f aca="false">IF(AND(I277&gt;0,A277&lt;&gt;""),P277-IFERROR(INDEX(الإعدادات!$B$15:$B$18,MATCH(A277,الإعدادات!$A$15:$A$18,0)),0),"")</f>
        <v/>
      </c>
      <c r="Y277" s="12" t="str">
        <f aca="false">IF(H277="","",IF(H277&lt;الإعدادات!$B$9,"بيانات غير كافية — انتظر",IF(N277=0,"إيقاف أو إعادة بناء (إنفاق بلا مبيعات)",IF(H277/N277&gt;الإعدادات!$B$8*1.5,"خفض الميزانية + اختبار إبداعات جديدة",IF(O277/H277&gt;=الإعدادات!$B$6*1.2,"توسيع الميزانية تدريجياً",IF(O277/H277&gt;=الإعدادات!$B$7,IF(AND(X277&lt;&gt;"",X277&lt;0),"رابحة — حدّث الإبداعات لرفع CTR","رابحة — حافظ وحسّن"),"تحت التعادل — حسّن الصفحة/العرض أو أوقف"))))))</f>
        <v/>
      </c>
    </row>
    <row r="278" customFormat="false" ht="15" hidden="false" customHeight="false" outlineLevel="0" collapsed="false">
      <c r="A278" s="14"/>
      <c r="B278" s="14"/>
      <c r="C278" s="14"/>
      <c r="D278" s="14"/>
      <c r="E278" s="14"/>
      <c r="F278" s="14"/>
      <c r="G278" s="14"/>
      <c r="H278" s="19"/>
      <c r="I278" s="22"/>
      <c r="J278" s="22"/>
      <c r="K278" s="22"/>
      <c r="L278" s="22"/>
      <c r="M278" s="22"/>
      <c r="N278" s="22"/>
      <c r="O278" s="19"/>
      <c r="P278" s="23" t="str">
        <f aca="false">IF(I278&gt;0,K278/I278,"")</f>
        <v/>
      </c>
      <c r="Q278" s="20" t="str">
        <f aca="false">IF(K278&gt;0,H278/K278,"")</f>
        <v/>
      </c>
      <c r="R278" s="20" t="str">
        <f aca="false">IF(I278&gt;0,H278/I278*1000,"")</f>
        <v/>
      </c>
      <c r="S278" s="23" t="str">
        <f aca="false">IF(K278&gt;0,N278/K278,"")</f>
        <v/>
      </c>
      <c r="T278" s="20" t="str">
        <f aca="false">IF(N278&gt;0,H278/N278,"")</f>
        <v/>
      </c>
      <c r="U278" s="18" t="str">
        <f aca="false">IF(H278&gt;0,O278/H278,"")</f>
        <v/>
      </c>
      <c r="V278" s="20" t="str">
        <f aca="false">IF(N278&gt;0,O278/N278,"")</f>
        <v/>
      </c>
      <c r="W278" s="20" t="str">
        <f aca="false">IF(H278&gt;0,O278*الإعدادات!$B$5-H278,"")</f>
        <v/>
      </c>
      <c r="X278" s="23" t="str">
        <f aca="false">IF(AND(I278&gt;0,A278&lt;&gt;""),P278-IFERROR(INDEX(الإعدادات!$B$15:$B$18,MATCH(A278,الإعدادات!$A$15:$A$18,0)),0),"")</f>
        <v/>
      </c>
      <c r="Y278" s="12" t="str">
        <f aca="false">IF(H278="","",IF(H278&lt;الإعدادات!$B$9,"بيانات غير كافية — انتظر",IF(N278=0,"إيقاف أو إعادة بناء (إنفاق بلا مبيعات)",IF(H278/N278&gt;الإعدادات!$B$8*1.5,"خفض الميزانية + اختبار إبداعات جديدة",IF(O278/H278&gt;=الإعدادات!$B$6*1.2,"توسيع الميزانية تدريجياً",IF(O278/H278&gt;=الإعدادات!$B$7,IF(AND(X278&lt;&gt;"",X278&lt;0),"رابحة — حدّث الإبداعات لرفع CTR","رابحة — حافظ وحسّن"),"تحت التعادل — حسّن الصفحة/العرض أو أوقف"))))))</f>
        <v/>
      </c>
    </row>
    <row r="279" customFormat="false" ht="15" hidden="false" customHeight="false" outlineLevel="0" collapsed="false">
      <c r="A279" s="14"/>
      <c r="B279" s="14"/>
      <c r="C279" s="14"/>
      <c r="D279" s="14"/>
      <c r="E279" s="14"/>
      <c r="F279" s="14"/>
      <c r="G279" s="14"/>
      <c r="H279" s="19"/>
      <c r="I279" s="22"/>
      <c r="J279" s="22"/>
      <c r="K279" s="22"/>
      <c r="L279" s="22"/>
      <c r="M279" s="22"/>
      <c r="N279" s="22"/>
      <c r="O279" s="19"/>
      <c r="P279" s="23" t="str">
        <f aca="false">IF(I279&gt;0,K279/I279,"")</f>
        <v/>
      </c>
      <c r="Q279" s="20" t="str">
        <f aca="false">IF(K279&gt;0,H279/K279,"")</f>
        <v/>
      </c>
      <c r="R279" s="20" t="str">
        <f aca="false">IF(I279&gt;0,H279/I279*1000,"")</f>
        <v/>
      </c>
      <c r="S279" s="23" t="str">
        <f aca="false">IF(K279&gt;0,N279/K279,"")</f>
        <v/>
      </c>
      <c r="T279" s="20" t="str">
        <f aca="false">IF(N279&gt;0,H279/N279,"")</f>
        <v/>
      </c>
      <c r="U279" s="18" t="str">
        <f aca="false">IF(H279&gt;0,O279/H279,"")</f>
        <v/>
      </c>
      <c r="V279" s="20" t="str">
        <f aca="false">IF(N279&gt;0,O279/N279,"")</f>
        <v/>
      </c>
      <c r="W279" s="20" t="str">
        <f aca="false">IF(H279&gt;0,O279*الإعدادات!$B$5-H279,"")</f>
        <v/>
      </c>
      <c r="X279" s="23" t="str">
        <f aca="false">IF(AND(I279&gt;0,A279&lt;&gt;""),P279-IFERROR(INDEX(الإعدادات!$B$15:$B$18,MATCH(A279,الإعدادات!$A$15:$A$18,0)),0),"")</f>
        <v/>
      </c>
      <c r="Y279" s="12" t="str">
        <f aca="false">IF(H279="","",IF(H279&lt;الإعدادات!$B$9,"بيانات غير كافية — انتظر",IF(N279=0,"إيقاف أو إعادة بناء (إنفاق بلا مبيعات)",IF(H279/N279&gt;الإعدادات!$B$8*1.5,"خفض الميزانية + اختبار إبداعات جديدة",IF(O279/H279&gt;=الإعدادات!$B$6*1.2,"توسيع الميزانية تدريجياً",IF(O279/H279&gt;=الإعدادات!$B$7,IF(AND(X279&lt;&gt;"",X279&lt;0),"رابحة — حدّث الإبداعات لرفع CTR","رابحة — حافظ وحسّن"),"تحت التعادل — حسّن الصفحة/العرض أو أوقف"))))))</f>
        <v/>
      </c>
    </row>
    <row r="280" customFormat="false" ht="15" hidden="false" customHeight="false" outlineLevel="0" collapsed="false">
      <c r="A280" s="14"/>
      <c r="B280" s="14"/>
      <c r="C280" s="14"/>
      <c r="D280" s="14"/>
      <c r="E280" s="14"/>
      <c r="F280" s="14"/>
      <c r="G280" s="14"/>
      <c r="H280" s="19"/>
      <c r="I280" s="22"/>
      <c r="J280" s="22"/>
      <c r="K280" s="22"/>
      <c r="L280" s="22"/>
      <c r="M280" s="22"/>
      <c r="N280" s="22"/>
      <c r="O280" s="19"/>
      <c r="P280" s="23" t="str">
        <f aca="false">IF(I280&gt;0,K280/I280,"")</f>
        <v/>
      </c>
      <c r="Q280" s="20" t="str">
        <f aca="false">IF(K280&gt;0,H280/K280,"")</f>
        <v/>
      </c>
      <c r="R280" s="20" t="str">
        <f aca="false">IF(I280&gt;0,H280/I280*1000,"")</f>
        <v/>
      </c>
      <c r="S280" s="23" t="str">
        <f aca="false">IF(K280&gt;0,N280/K280,"")</f>
        <v/>
      </c>
      <c r="T280" s="20" t="str">
        <f aca="false">IF(N280&gt;0,H280/N280,"")</f>
        <v/>
      </c>
      <c r="U280" s="18" t="str">
        <f aca="false">IF(H280&gt;0,O280/H280,"")</f>
        <v/>
      </c>
      <c r="V280" s="20" t="str">
        <f aca="false">IF(N280&gt;0,O280/N280,"")</f>
        <v/>
      </c>
      <c r="W280" s="20" t="str">
        <f aca="false">IF(H280&gt;0,O280*الإعدادات!$B$5-H280,"")</f>
        <v/>
      </c>
      <c r="X280" s="23" t="str">
        <f aca="false">IF(AND(I280&gt;0,A280&lt;&gt;""),P280-IFERROR(INDEX(الإعدادات!$B$15:$B$18,MATCH(A280,الإعدادات!$A$15:$A$18,0)),0),"")</f>
        <v/>
      </c>
      <c r="Y280" s="12" t="str">
        <f aca="false">IF(H280="","",IF(H280&lt;الإعدادات!$B$9,"بيانات غير كافية — انتظر",IF(N280=0,"إيقاف أو إعادة بناء (إنفاق بلا مبيعات)",IF(H280/N280&gt;الإعدادات!$B$8*1.5,"خفض الميزانية + اختبار إبداعات جديدة",IF(O280/H280&gt;=الإعدادات!$B$6*1.2,"توسيع الميزانية تدريجياً",IF(O280/H280&gt;=الإعدادات!$B$7,IF(AND(X280&lt;&gt;"",X280&lt;0),"رابحة — حدّث الإبداعات لرفع CTR","رابحة — حافظ وحسّن"),"تحت التعادل — حسّن الصفحة/العرض أو أوقف"))))))</f>
        <v/>
      </c>
    </row>
    <row r="281" customFormat="false" ht="15" hidden="false" customHeight="false" outlineLevel="0" collapsed="false">
      <c r="A281" s="14"/>
      <c r="B281" s="14"/>
      <c r="C281" s="14"/>
      <c r="D281" s="14"/>
      <c r="E281" s="14"/>
      <c r="F281" s="14"/>
      <c r="G281" s="14"/>
      <c r="H281" s="19"/>
      <c r="I281" s="22"/>
      <c r="J281" s="22"/>
      <c r="K281" s="22"/>
      <c r="L281" s="22"/>
      <c r="M281" s="22"/>
      <c r="N281" s="22"/>
      <c r="O281" s="19"/>
      <c r="P281" s="23" t="str">
        <f aca="false">IF(I281&gt;0,K281/I281,"")</f>
        <v/>
      </c>
      <c r="Q281" s="20" t="str">
        <f aca="false">IF(K281&gt;0,H281/K281,"")</f>
        <v/>
      </c>
      <c r="R281" s="20" t="str">
        <f aca="false">IF(I281&gt;0,H281/I281*1000,"")</f>
        <v/>
      </c>
      <c r="S281" s="23" t="str">
        <f aca="false">IF(K281&gt;0,N281/K281,"")</f>
        <v/>
      </c>
      <c r="T281" s="20" t="str">
        <f aca="false">IF(N281&gt;0,H281/N281,"")</f>
        <v/>
      </c>
      <c r="U281" s="18" t="str">
        <f aca="false">IF(H281&gt;0,O281/H281,"")</f>
        <v/>
      </c>
      <c r="V281" s="20" t="str">
        <f aca="false">IF(N281&gt;0,O281/N281,"")</f>
        <v/>
      </c>
      <c r="W281" s="20" t="str">
        <f aca="false">IF(H281&gt;0,O281*الإعدادات!$B$5-H281,"")</f>
        <v/>
      </c>
      <c r="X281" s="23" t="str">
        <f aca="false">IF(AND(I281&gt;0,A281&lt;&gt;""),P281-IFERROR(INDEX(الإعدادات!$B$15:$B$18,MATCH(A281,الإعدادات!$A$15:$A$18,0)),0),"")</f>
        <v/>
      </c>
      <c r="Y281" s="12" t="str">
        <f aca="false">IF(H281="","",IF(H281&lt;الإعدادات!$B$9,"بيانات غير كافية — انتظر",IF(N281=0,"إيقاف أو إعادة بناء (إنفاق بلا مبيعات)",IF(H281/N281&gt;الإعدادات!$B$8*1.5,"خفض الميزانية + اختبار إبداعات جديدة",IF(O281/H281&gt;=الإعدادات!$B$6*1.2,"توسيع الميزانية تدريجياً",IF(O281/H281&gt;=الإعدادات!$B$7,IF(AND(X281&lt;&gt;"",X281&lt;0),"رابحة — حدّث الإبداعات لرفع CTR","رابحة — حافظ وحسّن"),"تحت التعادل — حسّن الصفحة/العرض أو أوقف"))))))</f>
        <v/>
      </c>
    </row>
    <row r="282" customFormat="false" ht="15" hidden="false" customHeight="false" outlineLevel="0" collapsed="false">
      <c r="A282" s="14"/>
      <c r="B282" s="14"/>
      <c r="C282" s="14"/>
      <c r="D282" s="14"/>
      <c r="E282" s="14"/>
      <c r="F282" s="14"/>
      <c r="G282" s="14"/>
      <c r="H282" s="19"/>
      <c r="I282" s="22"/>
      <c r="J282" s="22"/>
      <c r="K282" s="22"/>
      <c r="L282" s="22"/>
      <c r="M282" s="22"/>
      <c r="N282" s="22"/>
      <c r="O282" s="19"/>
      <c r="P282" s="23" t="str">
        <f aca="false">IF(I282&gt;0,K282/I282,"")</f>
        <v/>
      </c>
      <c r="Q282" s="20" t="str">
        <f aca="false">IF(K282&gt;0,H282/K282,"")</f>
        <v/>
      </c>
      <c r="R282" s="20" t="str">
        <f aca="false">IF(I282&gt;0,H282/I282*1000,"")</f>
        <v/>
      </c>
      <c r="S282" s="23" t="str">
        <f aca="false">IF(K282&gt;0,N282/K282,"")</f>
        <v/>
      </c>
      <c r="T282" s="20" t="str">
        <f aca="false">IF(N282&gt;0,H282/N282,"")</f>
        <v/>
      </c>
      <c r="U282" s="18" t="str">
        <f aca="false">IF(H282&gt;0,O282/H282,"")</f>
        <v/>
      </c>
      <c r="V282" s="20" t="str">
        <f aca="false">IF(N282&gt;0,O282/N282,"")</f>
        <v/>
      </c>
      <c r="W282" s="20" t="str">
        <f aca="false">IF(H282&gt;0,O282*الإعدادات!$B$5-H282,"")</f>
        <v/>
      </c>
      <c r="X282" s="23" t="str">
        <f aca="false">IF(AND(I282&gt;0,A282&lt;&gt;""),P282-IFERROR(INDEX(الإعدادات!$B$15:$B$18,MATCH(A282,الإعدادات!$A$15:$A$18,0)),0),"")</f>
        <v/>
      </c>
      <c r="Y282" s="12" t="str">
        <f aca="false">IF(H282="","",IF(H282&lt;الإعدادات!$B$9,"بيانات غير كافية — انتظر",IF(N282=0,"إيقاف أو إعادة بناء (إنفاق بلا مبيعات)",IF(H282/N282&gt;الإعدادات!$B$8*1.5,"خفض الميزانية + اختبار إبداعات جديدة",IF(O282/H282&gt;=الإعدادات!$B$6*1.2,"توسيع الميزانية تدريجياً",IF(O282/H282&gt;=الإعدادات!$B$7,IF(AND(X282&lt;&gt;"",X282&lt;0),"رابحة — حدّث الإبداعات لرفع CTR","رابحة — حافظ وحسّن"),"تحت التعادل — حسّن الصفحة/العرض أو أوقف"))))))</f>
        <v/>
      </c>
    </row>
    <row r="283" customFormat="false" ht="15" hidden="false" customHeight="false" outlineLevel="0" collapsed="false">
      <c r="A283" s="14"/>
      <c r="B283" s="14"/>
      <c r="C283" s="14"/>
      <c r="D283" s="14"/>
      <c r="E283" s="14"/>
      <c r="F283" s="14"/>
      <c r="G283" s="14"/>
      <c r="H283" s="19"/>
      <c r="I283" s="22"/>
      <c r="J283" s="22"/>
      <c r="K283" s="22"/>
      <c r="L283" s="22"/>
      <c r="M283" s="22"/>
      <c r="N283" s="22"/>
      <c r="O283" s="19"/>
      <c r="P283" s="23" t="str">
        <f aca="false">IF(I283&gt;0,K283/I283,"")</f>
        <v/>
      </c>
      <c r="Q283" s="20" t="str">
        <f aca="false">IF(K283&gt;0,H283/K283,"")</f>
        <v/>
      </c>
      <c r="R283" s="20" t="str">
        <f aca="false">IF(I283&gt;0,H283/I283*1000,"")</f>
        <v/>
      </c>
      <c r="S283" s="23" t="str">
        <f aca="false">IF(K283&gt;0,N283/K283,"")</f>
        <v/>
      </c>
      <c r="T283" s="20" t="str">
        <f aca="false">IF(N283&gt;0,H283/N283,"")</f>
        <v/>
      </c>
      <c r="U283" s="18" t="str">
        <f aca="false">IF(H283&gt;0,O283/H283,"")</f>
        <v/>
      </c>
      <c r="V283" s="20" t="str">
        <f aca="false">IF(N283&gt;0,O283/N283,"")</f>
        <v/>
      </c>
      <c r="W283" s="20" t="str">
        <f aca="false">IF(H283&gt;0,O283*الإعدادات!$B$5-H283,"")</f>
        <v/>
      </c>
      <c r="X283" s="23" t="str">
        <f aca="false">IF(AND(I283&gt;0,A283&lt;&gt;""),P283-IFERROR(INDEX(الإعدادات!$B$15:$B$18,MATCH(A283,الإعدادات!$A$15:$A$18,0)),0),"")</f>
        <v/>
      </c>
      <c r="Y283" s="12" t="str">
        <f aca="false">IF(H283="","",IF(H283&lt;الإعدادات!$B$9,"بيانات غير كافية — انتظر",IF(N283=0,"إيقاف أو إعادة بناء (إنفاق بلا مبيعات)",IF(H283/N283&gt;الإعدادات!$B$8*1.5,"خفض الميزانية + اختبار إبداعات جديدة",IF(O283/H283&gt;=الإعدادات!$B$6*1.2,"توسيع الميزانية تدريجياً",IF(O283/H283&gt;=الإعدادات!$B$7,IF(AND(X283&lt;&gt;"",X283&lt;0),"رابحة — حدّث الإبداعات لرفع CTR","رابحة — حافظ وحسّن"),"تحت التعادل — حسّن الصفحة/العرض أو أوقف"))))))</f>
        <v/>
      </c>
    </row>
    <row r="284" customFormat="false" ht="15" hidden="false" customHeight="false" outlineLevel="0" collapsed="false">
      <c r="A284" s="14"/>
      <c r="B284" s="14"/>
      <c r="C284" s="14"/>
      <c r="D284" s="14"/>
      <c r="E284" s="14"/>
      <c r="F284" s="14"/>
      <c r="G284" s="14"/>
      <c r="H284" s="19"/>
      <c r="I284" s="22"/>
      <c r="J284" s="22"/>
      <c r="K284" s="22"/>
      <c r="L284" s="22"/>
      <c r="M284" s="22"/>
      <c r="N284" s="22"/>
      <c r="O284" s="19"/>
      <c r="P284" s="23" t="str">
        <f aca="false">IF(I284&gt;0,K284/I284,"")</f>
        <v/>
      </c>
      <c r="Q284" s="20" t="str">
        <f aca="false">IF(K284&gt;0,H284/K284,"")</f>
        <v/>
      </c>
      <c r="R284" s="20" t="str">
        <f aca="false">IF(I284&gt;0,H284/I284*1000,"")</f>
        <v/>
      </c>
      <c r="S284" s="23" t="str">
        <f aca="false">IF(K284&gt;0,N284/K284,"")</f>
        <v/>
      </c>
      <c r="T284" s="20" t="str">
        <f aca="false">IF(N284&gt;0,H284/N284,"")</f>
        <v/>
      </c>
      <c r="U284" s="18" t="str">
        <f aca="false">IF(H284&gt;0,O284/H284,"")</f>
        <v/>
      </c>
      <c r="V284" s="20" t="str">
        <f aca="false">IF(N284&gt;0,O284/N284,"")</f>
        <v/>
      </c>
      <c r="W284" s="20" t="str">
        <f aca="false">IF(H284&gt;0,O284*الإعدادات!$B$5-H284,"")</f>
        <v/>
      </c>
      <c r="X284" s="23" t="str">
        <f aca="false">IF(AND(I284&gt;0,A284&lt;&gt;""),P284-IFERROR(INDEX(الإعدادات!$B$15:$B$18,MATCH(A284,الإعدادات!$A$15:$A$18,0)),0),"")</f>
        <v/>
      </c>
      <c r="Y284" s="12" t="str">
        <f aca="false">IF(H284="","",IF(H284&lt;الإعدادات!$B$9,"بيانات غير كافية — انتظر",IF(N284=0,"إيقاف أو إعادة بناء (إنفاق بلا مبيعات)",IF(H284/N284&gt;الإعدادات!$B$8*1.5,"خفض الميزانية + اختبار إبداعات جديدة",IF(O284/H284&gt;=الإعدادات!$B$6*1.2,"توسيع الميزانية تدريجياً",IF(O284/H284&gt;=الإعدادات!$B$7,IF(AND(X284&lt;&gt;"",X284&lt;0),"رابحة — حدّث الإبداعات لرفع CTR","رابحة — حافظ وحسّن"),"تحت التعادل — حسّن الصفحة/العرض أو أوقف"))))))</f>
        <v/>
      </c>
    </row>
    <row r="285" customFormat="false" ht="15" hidden="false" customHeight="false" outlineLevel="0" collapsed="false">
      <c r="A285" s="14"/>
      <c r="B285" s="14"/>
      <c r="C285" s="14"/>
      <c r="D285" s="14"/>
      <c r="E285" s="14"/>
      <c r="F285" s="14"/>
      <c r="G285" s="14"/>
      <c r="H285" s="19"/>
      <c r="I285" s="22"/>
      <c r="J285" s="22"/>
      <c r="K285" s="22"/>
      <c r="L285" s="22"/>
      <c r="M285" s="22"/>
      <c r="N285" s="22"/>
      <c r="O285" s="19"/>
      <c r="P285" s="23" t="str">
        <f aca="false">IF(I285&gt;0,K285/I285,"")</f>
        <v/>
      </c>
      <c r="Q285" s="20" t="str">
        <f aca="false">IF(K285&gt;0,H285/K285,"")</f>
        <v/>
      </c>
      <c r="R285" s="20" t="str">
        <f aca="false">IF(I285&gt;0,H285/I285*1000,"")</f>
        <v/>
      </c>
      <c r="S285" s="23" t="str">
        <f aca="false">IF(K285&gt;0,N285/K285,"")</f>
        <v/>
      </c>
      <c r="T285" s="20" t="str">
        <f aca="false">IF(N285&gt;0,H285/N285,"")</f>
        <v/>
      </c>
      <c r="U285" s="18" t="str">
        <f aca="false">IF(H285&gt;0,O285/H285,"")</f>
        <v/>
      </c>
      <c r="V285" s="20" t="str">
        <f aca="false">IF(N285&gt;0,O285/N285,"")</f>
        <v/>
      </c>
      <c r="W285" s="20" t="str">
        <f aca="false">IF(H285&gt;0,O285*الإعدادات!$B$5-H285,"")</f>
        <v/>
      </c>
      <c r="X285" s="23" t="str">
        <f aca="false">IF(AND(I285&gt;0,A285&lt;&gt;""),P285-IFERROR(INDEX(الإعدادات!$B$15:$B$18,MATCH(A285,الإعدادات!$A$15:$A$18,0)),0),"")</f>
        <v/>
      </c>
      <c r="Y285" s="12" t="str">
        <f aca="false">IF(H285="","",IF(H285&lt;الإعدادات!$B$9,"بيانات غير كافية — انتظر",IF(N285=0,"إيقاف أو إعادة بناء (إنفاق بلا مبيعات)",IF(H285/N285&gt;الإعدادات!$B$8*1.5,"خفض الميزانية + اختبار إبداعات جديدة",IF(O285/H285&gt;=الإعدادات!$B$6*1.2,"توسيع الميزانية تدريجياً",IF(O285/H285&gt;=الإعدادات!$B$7,IF(AND(X285&lt;&gt;"",X285&lt;0),"رابحة — حدّث الإبداعات لرفع CTR","رابحة — حافظ وحسّن"),"تحت التعادل — حسّن الصفحة/العرض أو أوقف"))))))</f>
        <v/>
      </c>
    </row>
    <row r="286" customFormat="false" ht="15" hidden="false" customHeight="false" outlineLevel="0" collapsed="false">
      <c r="A286" s="14"/>
      <c r="B286" s="14"/>
      <c r="C286" s="14"/>
      <c r="D286" s="14"/>
      <c r="E286" s="14"/>
      <c r="F286" s="14"/>
      <c r="G286" s="14"/>
      <c r="H286" s="19"/>
      <c r="I286" s="22"/>
      <c r="J286" s="22"/>
      <c r="K286" s="22"/>
      <c r="L286" s="22"/>
      <c r="M286" s="22"/>
      <c r="N286" s="22"/>
      <c r="O286" s="19"/>
      <c r="P286" s="23" t="str">
        <f aca="false">IF(I286&gt;0,K286/I286,"")</f>
        <v/>
      </c>
      <c r="Q286" s="20" t="str">
        <f aca="false">IF(K286&gt;0,H286/K286,"")</f>
        <v/>
      </c>
      <c r="R286" s="20" t="str">
        <f aca="false">IF(I286&gt;0,H286/I286*1000,"")</f>
        <v/>
      </c>
      <c r="S286" s="23" t="str">
        <f aca="false">IF(K286&gt;0,N286/K286,"")</f>
        <v/>
      </c>
      <c r="T286" s="20" t="str">
        <f aca="false">IF(N286&gt;0,H286/N286,"")</f>
        <v/>
      </c>
      <c r="U286" s="18" t="str">
        <f aca="false">IF(H286&gt;0,O286/H286,"")</f>
        <v/>
      </c>
      <c r="V286" s="20" t="str">
        <f aca="false">IF(N286&gt;0,O286/N286,"")</f>
        <v/>
      </c>
      <c r="W286" s="20" t="str">
        <f aca="false">IF(H286&gt;0,O286*الإعدادات!$B$5-H286,"")</f>
        <v/>
      </c>
      <c r="X286" s="23" t="str">
        <f aca="false">IF(AND(I286&gt;0,A286&lt;&gt;""),P286-IFERROR(INDEX(الإعدادات!$B$15:$B$18,MATCH(A286,الإعدادات!$A$15:$A$18,0)),0),"")</f>
        <v/>
      </c>
      <c r="Y286" s="12" t="str">
        <f aca="false">IF(H286="","",IF(H286&lt;الإعدادات!$B$9,"بيانات غير كافية — انتظر",IF(N286=0,"إيقاف أو إعادة بناء (إنفاق بلا مبيعات)",IF(H286/N286&gt;الإعدادات!$B$8*1.5,"خفض الميزانية + اختبار إبداعات جديدة",IF(O286/H286&gt;=الإعدادات!$B$6*1.2,"توسيع الميزانية تدريجياً",IF(O286/H286&gt;=الإعدادات!$B$7,IF(AND(X286&lt;&gt;"",X286&lt;0),"رابحة — حدّث الإبداعات لرفع CTR","رابحة — حافظ وحسّن"),"تحت التعادل — حسّن الصفحة/العرض أو أوقف"))))))</f>
        <v/>
      </c>
    </row>
    <row r="287" customFormat="false" ht="15" hidden="false" customHeight="false" outlineLevel="0" collapsed="false">
      <c r="A287" s="14"/>
      <c r="B287" s="14"/>
      <c r="C287" s="14"/>
      <c r="D287" s="14"/>
      <c r="E287" s="14"/>
      <c r="F287" s="14"/>
      <c r="G287" s="14"/>
      <c r="H287" s="19"/>
      <c r="I287" s="22"/>
      <c r="J287" s="22"/>
      <c r="K287" s="22"/>
      <c r="L287" s="22"/>
      <c r="M287" s="22"/>
      <c r="N287" s="22"/>
      <c r="O287" s="19"/>
      <c r="P287" s="23" t="str">
        <f aca="false">IF(I287&gt;0,K287/I287,"")</f>
        <v/>
      </c>
      <c r="Q287" s="20" t="str">
        <f aca="false">IF(K287&gt;0,H287/K287,"")</f>
        <v/>
      </c>
      <c r="R287" s="20" t="str">
        <f aca="false">IF(I287&gt;0,H287/I287*1000,"")</f>
        <v/>
      </c>
      <c r="S287" s="23" t="str">
        <f aca="false">IF(K287&gt;0,N287/K287,"")</f>
        <v/>
      </c>
      <c r="T287" s="20" t="str">
        <f aca="false">IF(N287&gt;0,H287/N287,"")</f>
        <v/>
      </c>
      <c r="U287" s="18" t="str">
        <f aca="false">IF(H287&gt;0,O287/H287,"")</f>
        <v/>
      </c>
      <c r="V287" s="20" t="str">
        <f aca="false">IF(N287&gt;0,O287/N287,"")</f>
        <v/>
      </c>
      <c r="W287" s="20" t="str">
        <f aca="false">IF(H287&gt;0,O287*الإعدادات!$B$5-H287,"")</f>
        <v/>
      </c>
      <c r="X287" s="23" t="str">
        <f aca="false">IF(AND(I287&gt;0,A287&lt;&gt;""),P287-IFERROR(INDEX(الإعدادات!$B$15:$B$18,MATCH(A287,الإعدادات!$A$15:$A$18,0)),0),"")</f>
        <v/>
      </c>
      <c r="Y287" s="12" t="str">
        <f aca="false">IF(H287="","",IF(H287&lt;الإعدادات!$B$9,"بيانات غير كافية — انتظر",IF(N287=0,"إيقاف أو إعادة بناء (إنفاق بلا مبيعات)",IF(H287/N287&gt;الإعدادات!$B$8*1.5,"خفض الميزانية + اختبار إبداعات جديدة",IF(O287/H287&gt;=الإعدادات!$B$6*1.2,"توسيع الميزانية تدريجياً",IF(O287/H287&gt;=الإعدادات!$B$7,IF(AND(X287&lt;&gt;"",X287&lt;0),"رابحة — حدّث الإبداعات لرفع CTR","رابحة — حافظ وحسّن"),"تحت التعادل — حسّن الصفحة/العرض أو أوقف"))))))</f>
        <v/>
      </c>
    </row>
    <row r="288" customFormat="false" ht="15" hidden="false" customHeight="false" outlineLevel="0" collapsed="false">
      <c r="A288" s="14"/>
      <c r="B288" s="14"/>
      <c r="C288" s="14"/>
      <c r="D288" s="14"/>
      <c r="E288" s="14"/>
      <c r="F288" s="14"/>
      <c r="G288" s="14"/>
      <c r="H288" s="19"/>
      <c r="I288" s="22"/>
      <c r="J288" s="22"/>
      <c r="K288" s="22"/>
      <c r="L288" s="22"/>
      <c r="M288" s="22"/>
      <c r="N288" s="22"/>
      <c r="O288" s="19"/>
      <c r="P288" s="23" t="str">
        <f aca="false">IF(I288&gt;0,K288/I288,"")</f>
        <v/>
      </c>
      <c r="Q288" s="20" t="str">
        <f aca="false">IF(K288&gt;0,H288/K288,"")</f>
        <v/>
      </c>
      <c r="R288" s="20" t="str">
        <f aca="false">IF(I288&gt;0,H288/I288*1000,"")</f>
        <v/>
      </c>
      <c r="S288" s="23" t="str">
        <f aca="false">IF(K288&gt;0,N288/K288,"")</f>
        <v/>
      </c>
      <c r="T288" s="20" t="str">
        <f aca="false">IF(N288&gt;0,H288/N288,"")</f>
        <v/>
      </c>
      <c r="U288" s="18" t="str">
        <f aca="false">IF(H288&gt;0,O288/H288,"")</f>
        <v/>
      </c>
      <c r="V288" s="20" t="str">
        <f aca="false">IF(N288&gt;0,O288/N288,"")</f>
        <v/>
      </c>
      <c r="W288" s="20" t="str">
        <f aca="false">IF(H288&gt;0,O288*الإعدادات!$B$5-H288,"")</f>
        <v/>
      </c>
      <c r="X288" s="23" t="str">
        <f aca="false">IF(AND(I288&gt;0,A288&lt;&gt;""),P288-IFERROR(INDEX(الإعدادات!$B$15:$B$18,MATCH(A288,الإعدادات!$A$15:$A$18,0)),0),"")</f>
        <v/>
      </c>
      <c r="Y288" s="12" t="str">
        <f aca="false">IF(H288="","",IF(H288&lt;الإعدادات!$B$9,"بيانات غير كافية — انتظر",IF(N288=0,"إيقاف أو إعادة بناء (إنفاق بلا مبيعات)",IF(H288/N288&gt;الإعدادات!$B$8*1.5,"خفض الميزانية + اختبار إبداعات جديدة",IF(O288/H288&gt;=الإعدادات!$B$6*1.2,"توسيع الميزانية تدريجياً",IF(O288/H288&gt;=الإعدادات!$B$7,IF(AND(X288&lt;&gt;"",X288&lt;0),"رابحة — حدّث الإبداعات لرفع CTR","رابحة — حافظ وحسّن"),"تحت التعادل — حسّن الصفحة/العرض أو أوقف"))))))</f>
        <v/>
      </c>
    </row>
    <row r="289" customFormat="false" ht="15" hidden="false" customHeight="false" outlineLevel="0" collapsed="false">
      <c r="A289" s="14"/>
      <c r="B289" s="14"/>
      <c r="C289" s="14"/>
      <c r="D289" s="14"/>
      <c r="E289" s="14"/>
      <c r="F289" s="14"/>
      <c r="G289" s="14"/>
      <c r="H289" s="19"/>
      <c r="I289" s="22"/>
      <c r="J289" s="22"/>
      <c r="K289" s="22"/>
      <c r="L289" s="22"/>
      <c r="M289" s="22"/>
      <c r="N289" s="22"/>
      <c r="O289" s="19"/>
      <c r="P289" s="23" t="str">
        <f aca="false">IF(I289&gt;0,K289/I289,"")</f>
        <v/>
      </c>
      <c r="Q289" s="20" t="str">
        <f aca="false">IF(K289&gt;0,H289/K289,"")</f>
        <v/>
      </c>
      <c r="R289" s="20" t="str">
        <f aca="false">IF(I289&gt;0,H289/I289*1000,"")</f>
        <v/>
      </c>
      <c r="S289" s="23" t="str">
        <f aca="false">IF(K289&gt;0,N289/K289,"")</f>
        <v/>
      </c>
      <c r="T289" s="20" t="str">
        <f aca="false">IF(N289&gt;0,H289/N289,"")</f>
        <v/>
      </c>
      <c r="U289" s="18" t="str">
        <f aca="false">IF(H289&gt;0,O289/H289,"")</f>
        <v/>
      </c>
      <c r="V289" s="20" t="str">
        <f aca="false">IF(N289&gt;0,O289/N289,"")</f>
        <v/>
      </c>
      <c r="W289" s="20" t="str">
        <f aca="false">IF(H289&gt;0,O289*الإعدادات!$B$5-H289,"")</f>
        <v/>
      </c>
      <c r="X289" s="23" t="str">
        <f aca="false">IF(AND(I289&gt;0,A289&lt;&gt;""),P289-IFERROR(INDEX(الإعدادات!$B$15:$B$18,MATCH(A289,الإعدادات!$A$15:$A$18,0)),0),"")</f>
        <v/>
      </c>
      <c r="Y289" s="12" t="str">
        <f aca="false">IF(H289="","",IF(H289&lt;الإعدادات!$B$9,"بيانات غير كافية — انتظر",IF(N289=0,"إيقاف أو إعادة بناء (إنفاق بلا مبيعات)",IF(H289/N289&gt;الإعدادات!$B$8*1.5,"خفض الميزانية + اختبار إبداعات جديدة",IF(O289/H289&gt;=الإعدادات!$B$6*1.2,"توسيع الميزانية تدريجياً",IF(O289/H289&gt;=الإعدادات!$B$7,IF(AND(X289&lt;&gt;"",X289&lt;0),"رابحة — حدّث الإبداعات لرفع CTR","رابحة — حافظ وحسّن"),"تحت التعادل — حسّن الصفحة/العرض أو أوقف"))))))</f>
        <v/>
      </c>
    </row>
    <row r="290" customFormat="false" ht="15" hidden="false" customHeight="false" outlineLevel="0" collapsed="false">
      <c r="A290" s="14"/>
      <c r="B290" s="14"/>
      <c r="C290" s="14"/>
      <c r="D290" s="14"/>
      <c r="E290" s="14"/>
      <c r="F290" s="14"/>
      <c r="G290" s="14"/>
      <c r="H290" s="19"/>
      <c r="I290" s="22"/>
      <c r="J290" s="22"/>
      <c r="K290" s="22"/>
      <c r="L290" s="22"/>
      <c r="M290" s="22"/>
      <c r="N290" s="22"/>
      <c r="O290" s="19"/>
      <c r="P290" s="23" t="str">
        <f aca="false">IF(I290&gt;0,K290/I290,"")</f>
        <v/>
      </c>
      <c r="Q290" s="20" t="str">
        <f aca="false">IF(K290&gt;0,H290/K290,"")</f>
        <v/>
      </c>
      <c r="R290" s="20" t="str">
        <f aca="false">IF(I290&gt;0,H290/I290*1000,"")</f>
        <v/>
      </c>
      <c r="S290" s="23" t="str">
        <f aca="false">IF(K290&gt;0,N290/K290,"")</f>
        <v/>
      </c>
      <c r="T290" s="20" t="str">
        <f aca="false">IF(N290&gt;0,H290/N290,"")</f>
        <v/>
      </c>
      <c r="U290" s="18" t="str">
        <f aca="false">IF(H290&gt;0,O290/H290,"")</f>
        <v/>
      </c>
      <c r="V290" s="20" t="str">
        <f aca="false">IF(N290&gt;0,O290/N290,"")</f>
        <v/>
      </c>
      <c r="W290" s="20" t="str">
        <f aca="false">IF(H290&gt;0,O290*الإعدادات!$B$5-H290,"")</f>
        <v/>
      </c>
      <c r="X290" s="23" t="str">
        <f aca="false">IF(AND(I290&gt;0,A290&lt;&gt;""),P290-IFERROR(INDEX(الإعدادات!$B$15:$B$18,MATCH(A290,الإعدادات!$A$15:$A$18,0)),0),"")</f>
        <v/>
      </c>
      <c r="Y290" s="12" t="str">
        <f aca="false">IF(H290="","",IF(H290&lt;الإعدادات!$B$9,"بيانات غير كافية — انتظر",IF(N290=0,"إيقاف أو إعادة بناء (إنفاق بلا مبيعات)",IF(H290/N290&gt;الإعدادات!$B$8*1.5,"خفض الميزانية + اختبار إبداعات جديدة",IF(O290/H290&gt;=الإعدادات!$B$6*1.2,"توسيع الميزانية تدريجياً",IF(O290/H290&gt;=الإعدادات!$B$7,IF(AND(X290&lt;&gt;"",X290&lt;0),"رابحة — حدّث الإبداعات لرفع CTR","رابحة — حافظ وحسّن"),"تحت التعادل — حسّن الصفحة/العرض أو أوقف"))))))</f>
        <v/>
      </c>
    </row>
    <row r="291" customFormat="false" ht="15" hidden="false" customHeight="false" outlineLevel="0" collapsed="false">
      <c r="A291" s="14"/>
      <c r="B291" s="14"/>
      <c r="C291" s="14"/>
      <c r="D291" s="14"/>
      <c r="E291" s="14"/>
      <c r="F291" s="14"/>
      <c r="G291" s="14"/>
      <c r="H291" s="19"/>
      <c r="I291" s="22"/>
      <c r="J291" s="22"/>
      <c r="K291" s="22"/>
      <c r="L291" s="22"/>
      <c r="M291" s="22"/>
      <c r="N291" s="22"/>
      <c r="O291" s="19"/>
      <c r="P291" s="23" t="str">
        <f aca="false">IF(I291&gt;0,K291/I291,"")</f>
        <v/>
      </c>
      <c r="Q291" s="20" t="str">
        <f aca="false">IF(K291&gt;0,H291/K291,"")</f>
        <v/>
      </c>
      <c r="R291" s="20" t="str">
        <f aca="false">IF(I291&gt;0,H291/I291*1000,"")</f>
        <v/>
      </c>
      <c r="S291" s="23" t="str">
        <f aca="false">IF(K291&gt;0,N291/K291,"")</f>
        <v/>
      </c>
      <c r="T291" s="20" t="str">
        <f aca="false">IF(N291&gt;0,H291/N291,"")</f>
        <v/>
      </c>
      <c r="U291" s="18" t="str">
        <f aca="false">IF(H291&gt;0,O291/H291,"")</f>
        <v/>
      </c>
      <c r="V291" s="20" t="str">
        <f aca="false">IF(N291&gt;0,O291/N291,"")</f>
        <v/>
      </c>
      <c r="W291" s="20" t="str">
        <f aca="false">IF(H291&gt;0,O291*الإعدادات!$B$5-H291,"")</f>
        <v/>
      </c>
      <c r="X291" s="23" t="str">
        <f aca="false">IF(AND(I291&gt;0,A291&lt;&gt;""),P291-IFERROR(INDEX(الإعدادات!$B$15:$B$18,MATCH(A291,الإعدادات!$A$15:$A$18,0)),0),"")</f>
        <v/>
      </c>
      <c r="Y291" s="12" t="str">
        <f aca="false">IF(H291="","",IF(H291&lt;الإعدادات!$B$9,"بيانات غير كافية — انتظر",IF(N291=0,"إيقاف أو إعادة بناء (إنفاق بلا مبيعات)",IF(H291/N291&gt;الإعدادات!$B$8*1.5,"خفض الميزانية + اختبار إبداعات جديدة",IF(O291/H291&gt;=الإعدادات!$B$6*1.2,"توسيع الميزانية تدريجياً",IF(O291/H291&gt;=الإعدادات!$B$7,IF(AND(X291&lt;&gt;"",X291&lt;0),"رابحة — حدّث الإبداعات لرفع CTR","رابحة — حافظ وحسّن"),"تحت التعادل — حسّن الصفحة/العرض أو أوقف"))))))</f>
        <v/>
      </c>
    </row>
    <row r="292" customFormat="false" ht="15" hidden="false" customHeight="false" outlineLevel="0" collapsed="false">
      <c r="A292" s="14"/>
      <c r="B292" s="14"/>
      <c r="C292" s="14"/>
      <c r="D292" s="14"/>
      <c r="E292" s="14"/>
      <c r="F292" s="14"/>
      <c r="G292" s="14"/>
      <c r="H292" s="19"/>
      <c r="I292" s="22"/>
      <c r="J292" s="22"/>
      <c r="K292" s="22"/>
      <c r="L292" s="22"/>
      <c r="M292" s="22"/>
      <c r="N292" s="22"/>
      <c r="O292" s="19"/>
      <c r="P292" s="23" t="str">
        <f aca="false">IF(I292&gt;0,K292/I292,"")</f>
        <v/>
      </c>
      <c r="Q292" s="20" t="str">
        <f aca="false">IF(K292&gt;0,H292/K292,"")</f>
        <v/>
      </c>
      <c r="R292" s="20" t="str">
        <f aca="false">IF(I292&gt;0,H292/I292*1000,"")</f>
        <v/>
      </c>
      <c r="S292" s="23" t="str">
        <f aca="false">IF(K292&gt;0,N292/K292,"")</f>
        <v/>
      </c>
      <c r="T292" s="20" t="str">
        <f aca="false">IF(N292&gt;0,H292/N292,"")</f>
        <v/>
      </c>
      <c r="U292" s="18" t="str">
        <f aca="false">IF(H292&gt;0,O292/H292,"")</f>
        <v/>
      </c>
      <c r="V292" s="20" t="str">
        <f aca="false">IF(N292&gt;0,O292/N292,"")</f>
        <v/>
      </c>
      <c r="W292" s="20" t="str">
        <f aca="false">IF(H292&gt;0,O292*الإعدادات!$B$5-H292,"")</f>
        <v/>
      </c>
      <c r="X292" s="23" t="str">
        <f aca="false">IF(AND(I292&gt;0,A292&lt;&gt;""),P292-IFERROR(INDEX(الإعدادات!$B$15:$B$18,MATCH(A292,الإعدادات!$A$15:$A$18,0)),0),"")</f>
        <v/>
      </c>
      <c r="Y292" s="12" t="str">
        <f aca="false">IF(H292="","",IF(H292&lt;الإعدادات!$B$9,"بيانات غير كافية — انتظر",IF(N292=0,"إيقاف أو إعادة بناء (إنفاق بلا مبيعات)",IF(H292/N292&gt;الإعدادات!$B$8*1.5,"خفض الميزانية + اختبار إبداعات جديدة",IF(O292/H292&gt;=الإعدادات!$B$6*1.2,"توسيع الميزانية تدريجياً",IF(O292/H292&gt;=الإعدادات!$B$7,IF(AND(X292&lt;&gt;"",X292&lt;0),"رابحة — حدّث الإبداعات لرفع CTR","رابحة — حافظ وحسّن"),"تحت التعادل — حسّن الصفحة/العرض أو أوقف"))))))</f>
        <v/>
      </c>
    </row>
    <row r="293" customFormat="false" ht="15" hidden="false" customHeight="false" outlineLevel="0" collapsed="false">
      <c r="A293" s="14"/>
      <c r="B293" s="14"/>
      <c r="C293" s="14"/>
      <c r="D293" s="14"/>
      <c r="E293" s="14"/>
      <c r="F293" s="14"/>
      <c r="G293" s="14"/>
      <c r="H293" s="19"/>
      <c r="I293" s="22"/>
      <c r="J293" s="22"/>
      <c r="K293" s="22"/>
      <c r="L293" s="22"/>
      <c r="M293" s="22"/>
      <c r="N293" s="22"/>
      <c r="O293" s="19"/>
      <c r="P293" s="23" t="str">
        <f aca="false">IF(I293&gt;0,K293/I293,"")</f>
        <v/>
      </c>
      <c r="Q293" s="20" t="str">
        <f aca="false">IF(K293&gt;0,H293/K293,"")</f>
        <v/>
      </c>
      <c r="R293" s="20" t="str">
        <f aca="false">IF(I293&gt;0,H293/I293*1000,"")</f>
        <v/>
      </c>
      <c r="S293" s="23" t="str">
        <f aca="false">IF(K293&gt;0,N293/K293,"")</f>
        <v/>
      </c>
      <c r="T293" s="20" t="str">
        <f aca="false">IF(N293&gt;0,H293/N293,"")</f>
        <v/>
      </c>
      <c r="U293" s="18" t="str">
        <f aca="false">IF(H293&gt;0,O293/H293,"")</f>
        <v/>
      </c>
      <c r="V293" s="20" t="str">
        <f aca="false">IF(N293&gt;0,O293/N293,"")</f>
        <v/>
      </c>
      <c r="W293" s="20" t="str">
        <f aca="false">IF(H293&gt;0,O293*الإعدادات!$B$5-H293,"")</f>
        <v/>
      </c>
      <c r="X293" s="23" t="str">
        <f aca="false">IF(AND(I293&gt;0,A293&lt;&gt;""),P293-IFERROR(INDEX(الإعدادات!$B$15:$B$18,MATCH(A293,الإعدادات!$A$15:$A$18,0)),0),"")</f>
        <v/>
      </c>
      <c r="Y293" s="12" t="str">
        <f aca="false">IF(H293="","",IF(H293&lt;الإعدادات!$B$9,"بيانات غير كافية — انتظر",IF(N293=0,"إيقاف أو إعادة بناء (إنفاق بلا مبيعات)",IF(H293/N293&gt;الإعدادات!$B$8*1.5,"خفض الميزانية + اختبار إبداعات جديدة",IF(O293/H293&gt;=الإعدادات!$B$6*1.2,"توسيع الميزانية تدريجياً",IF(O293/H293&gt;=الإعدادات!$B$7,IF(AND(X293&lt;&gt;"",X293&lt;0),"رابحة — حدّث الإبداعات لرفع CTR","رابحة — حافظ وحسّن"),"تحت التعادل — حسّن الصفحة/العرض أو أوقف"))))))</f>
        <v/>
      </c>
    </row>
    <row r="294" customFormat="false" ht="15" hidden="false" customHeight="false" outlineLevel="0" collapsed="false">
      <c r="A294" s="14"/>
      <c r="B294" s="14"/>
      <c r="C294" s="14"/>
      <c r="D294" s="14"/>
      <c r="E294" s="14"/>
      <c r="F294" s="14"/>
      <c r="G294" s="14"/>
      <c r="H294" s="19"/>
      <c r="I294" s="22"/>
      <c r="J294" s="22"/>
      <c r="K294" s="22"/>
      <c r="L294" s="22"/>
      <c r="M294" s="22"/>
      <c r="N294" s="22"/>
      <c r="O294" s="19"/>
      <c r="P294" s="23" t="str">
        <f aca="false">IF(I294&gt;0,K294/I294,"")</f>
        <v/>
      </c>
      <c r="Q294" s="20" t="str">
        <f aca="false">IF(K294&gt;0,H294/K294,"")</f>
        <v/>
      </c>
      <c r="R294" s="20" t="str">
        <f aca="false">IF(I294&gt;0,H294/I294*1000,"")</f>
        <v/>
      </c>
      <c r="S294" s="23" t="str">
        <f aca="false">IF(K294&gt;0,N294/K294,"")</f>
        <v/>
      </c>
      <c r="T294" s="20" t="str">
        <f aca="false">IF(N294&gt;0,H294/N294,"")</f>
        <v/>
      </c>
      <c r="U294" s="18" t="str">
        <f aca="false">IF(H294&gt;0,O294/H294,"")</f>
        <v/>
      </c>
      <c r="V294" s="20" t="str">
        <f aca="false">IF(N294&gt;0,O294/N294,"")</f>
        <v/>
      </c>
      <c r="W294" s="20" t="str">
        <f aca="false">IF(H294&gt;0,O294*الإعدادات!$B$5-H294,"")</f>
        <v/>
      </c>
      <c r="X294" s="23" t="str">
        <f aca="false">IF(AND(I294&gt;0,A294&lt;&gt;""),P294-IFERROR(INDEX(الإعدادات!$B$15:$B$18,MATCH(A294,الإعدادات!$A$15:$A$18,0)),0),"")</f>
        <v/>
      </c>
      <c r="Y294" s="12" t="str">
        <f aca="false">IF(H294="","",IF(H294&lt;الإعدادات!$B$9,"بيانات غير كافية — انتظر",IF(N294=0,"إيقاف أو إعادة بناء (إنفاق بلا مبيعات)",IF(H294/N294&gt;الإعدادات!$B$8*1.5,"خفض الميزانية + اختبار إبداعات جديدة",IF(O294/H294&gt;=الإعدادات!$B$6*1.2,"توسيع الميزانية تدريجياً",IF(O294/H294&gt;=الإعدادات!$B$7,IF(AND(X294&lt;&gt;"",X294&lt;0),"رابحة — حدّث الإبداعات لرفع CTR","رابحة — حافظ وحسّن"),"تحت التعادل — حسّن الصفحة/العرض أو أوقف"))))))</f>
        <v/>
      </c>
    </row>
    <row r="295" customFormat="false" ht="15" hidden="false" customHeight="false" outlineLevel="0" collapsed="false">
      <c r="A295" s="14"/>
      <c r="B295" s="14"/>
      <c r="C295" s="14"/>
      <c r="D295" s="14"/>
      <c r="E295" s="14"/>
      <c r="F295" s="14"/>
      <c r="G295" s="14"/>
      <c r="H295" s="19"/>
      <c r="I295" s="22"/>
      <c r="J295" s="22"/>
      <c r="K295" s="22"/>
      <c r="L295" s="22"/>
      <c r="M295" s="22"/>
      <c r="N295" s="22"/>
      <c r="O295" s="19"/>
      <c r="P295" s="23" t="str">
        <f aca="false">IF(I295&gt;0,K295/I295,"")</f>
        <v/>
      </c>
      <c r="Q295" s="20" t="str">
        <f aca="false">IF(K295&gt;0,H295/K295,"")</f>
        <v/>
      </c>
      <c r="R295" s="20" t="str">
        <f aca="false">IF(I295&gt;0,H295/I295*1000,"")</f>
        <v/>
      </c>
      <c r="S295" s="23" t="str">
        <f aca="false">IF(K295&gt;0,N295/K295,"")</f>
        <v/>
      </c>
      <c r="T295" s="20" t="str">
        <f aca="false">IF(N295&gt;0,H295/N295,"")</f>
        <v/>
      </c>
      <c r="U295" s="18" t="str">
        <f aca="false">IF(H295&gt;0,O295/H295,"")</f>
        <v/>
      </c>
      <c r="V295" s="20" t="str">
        <f aca="false">IF(N295&gt;0,O295/N295,"")</f>
        <v/>
      </c>
      <c r="W295" s="20" t="str">
        <f aca="false">IF(H295&gt;0,O295*الإعدادات!$B$5-H295,"")</f>
        <v/>
      </c>
      <c r="X295" s="23" t="str">
        <f aca="false">IF(AND(I295&gt;0,A295&lt;&gt;""),P295-IFERROR(INDEX(الإعدادات!$B$15:$B$18,MATCH(A295,الإعدادات!$A$15:$A$18,0)),0),"")</f>
        <v/>
      </c>
      <c r="Y295" s="12" t="str">
        <f aca="false">IF(H295="","",IF(H295&lt;الإعدادات!$B$9,"بيانات غير كافية — انتظر",IF(N295=0,"إيقاف أو إعادة بناء (إنفاق بلا مبيعات)",IF(H295/N295&gt;الإعدادات!$B$8*1.5,"خفض الميزانية + اختبار إبداعات جديدة",IF(O295/H295&gt;=الإعدادات!$B$6*1.2,"توسيع الميزانية تدريجياً",IF(O295/H295&gt;=الإعدادات!$B$7,IF(AND(X295&lt;&gt;"",X295&lt;0),"رابحة — حدّث الإبداعات لرفع CTR","رابحة — حافظ وحسّن"),"تحت التعادل — حسّن الصفحة/العرض أو أوقف"))))))</f>
        <v/>
      </c>
    </row>
    <row r="296" customFormat="false" ht="15" hidden="false" customHeight="false" outlineLevel="0" collapsed="false">
      <c r="A296" s="14"/>
      <c r="B296" s="14"/>
      <c r="C296" s="14"/>
      <c r="D296" s="14"/>
      <c r="E296" s="14"/>
      <c r="F296" s="14"/>
      <c r="G296" s="14"/>
      <c r="H296" s="19"/>
      <c r="I296" s="22"/>
      <c r="J296" s="22"/>
      <c r="K296" s="22"/>
      <c r="L296" s="22"/>
      <c r="M296" s="22"/>
      <c r="N296" s="22"/>
      <c r="O296" s="19"/>
      <c r="P296" s="23" t="str">
        <f aca="false">IF(I296&gt;0,K296/I296,"")</f>
        <v/>
      </c>
      <c r="Q296" s="20" t="str">
        <f aca="false">IF(K296&gt;0,H296/K296,"")</f>
        <v/>
      </c>
      <c r="R296" s="20" t="str">
        <f aca="false">IF(I296&gt;0,H296/I296*1000,"")</f>
        <v/>
      </c>
      <c r="S296" s="23" t="str">
        <f aca="false">IF(K296&gt;0,N296/K296,"")</f>
        <v/>
      </c>
      <c r="T296" s="20" t="str">
        <f aca="false">IF(N296&gt;0,H296/N296,"")</f>
        <v/>
      </c>
      <c r="U296" s="18" t="str">
        <f aca="false">IF(H296&gt;0,O296/H296,"")</f>
        <v/>
      </c>
      <c r="V296" s="20" t="str">
        <f aca="false">IF(N296&gt;0,O296/N296,"")</f>
        <v/>
      </c>
      <c r="W296" s="20" t="str">
        <f aca="false">IF(H296&gt;0,O296*الإعدادات!$B$5-H296,"")</f>
        <v/>
      </c>
      <c r="X296" s="23" t="str">
        <f aca="false">IF(AND(I296&gt;0,A296&lt;&gt;""),P296-IFERROR(INDEX(الإعدادات!$B$15:$B$18,MATCH(A296,الإعدادات!$A$15:$A$18,0)),0),"")</f>
        <v/>
      </c>
      <c r="Y296" s="12" t="str">
        <f aca="false">IF(H296="","",IF(H296&lt;الإعدادات!$B$9,"بيانات غير كافية — انتظر",IF(N296=0,"إيقاف أو إعادة بناء (إنفاق بلا مبيعات)",IF(H296/N296&gt;الإعدادات!$B$8*1.5,"خفض الميزانية + اختبار إبداعات جديدة",IF(O296/H296&gt;=الإعدادات!$B$6*1.2,"توسيع الميزانية تدريجياً",IF(O296/H296&gt;=الإعدادات!$B$7,IF(AND(X296&lt;&gt;"",X296&lt;0),"رابحة — حدّث الإبداعات لرفع CTR","رابحة — حافظ وحسّن"),"تحت التعادل — حسّن الصفحة/العرض أو أوقف"))))))</f>
        <v/>
      </c>
    </row>
    <row r="297" customFormat="false" ht="15" hidden="false" customHeight="false" outlineLevel="0" collapsed="false">
      <c r="A297" s="14"/>
      <c r="B297" s="14"/>
      <c r="C297" s="14"/>
      <c r="D297" s="14"/>
      <c r="E297" s="14"/>
      <c r="F297" s="14"/>
      <c r="G297" s="14"/>
      <c r="H297" s="19"/>
      <c r="I297" s="22"/>
      <c r="J297" s="22"/>
      <c r="K297" s="22"/>
      <c r="L297" s="22"/>
      <c r="M297" s="22"/>
      <c r="N297" s="22"/>
      <c r="O297" s="19"/>
      <c r="P297" s="23" t="str">
        <f aca="false">IF(I297&gt;0,K297/I297,"")</f>
        <v/>
      </c>
      <c r="Q297" s="20" t="str">
        <f aca="false">IF(K297&gt;0,H297/K297,"")</f>
        <v/>
      </c>
      <c r="R297" s="20" t="str">
        <f aca="false">IF(I297&gt;0,H297/I297*1000,"")</f>
        <v/>
      </c>
      <c r="S297" s="23" t="str">
        <f aca="false">IF(K297&gt;0,N297/K297,"")</f>
        <v/>
      </c>
      <c r="T297" s="20" t="str">
        <f aca="false">IF(N297&gt;0,H297/N297,"")</f>
        <v/>
      </c>
      <c r="U297" s="18" t="str">
        <f aca="false">IF(H297&gt;0,O297/H297,"")</f>
        <v/>
      </c>
      <c r="V297" s="20" t="str">
        <f aca="false">IF(N297&gt;0,O297/N297,"")</f>
        <v/>
      </c>
      <c r="W297" s="20" t="str">
        <f aca="false">IF(H297&gt;0,O297*الإعدادات!$B$5-H297,"")</f>
        <v/>
      </c>
      <c r="X297" s="23" t="str">
        <f aca="false">IF(AND(I297&gt;0,A297&lt;&gt;""),P297-IFERROR(INDEX(الإعدادات!$B$15:$B$18,MATCH(A297,الإعدادات!$A$15:$A$18,0)),0),"")</f>
        <v/>
      </c>
      <c r="Y297" s="12" t="str">
        <f aca="false">IF(H297="","",IF(H297&lt;الإعدادات!$B$9,"بيانات غير كافية — انتظر",IF(N297=0,"إيقاف أو إعادة بناء (إنفاق بلا مبيعات)",IF(H297/N297&gt;الإعدادات!$B$8*1.5,"خفض الميزانية + اختبار إبداعات جديدة",IF(O297/H297&gt;=الإعدادات!$B$6*1.2,"توسيع الميزانية تدريجياً",IF(O297/H297&gt;=الإعدادات!$B$7,IF(AND(X297&lt;&gt;"",X297&lt;0),"رابحة — حدّث الإبداعات لرفع CTR","رابحة — حافظ وحسّن"),"تحت التعادل — حسّن الصفحة/العرض أو أوقف"))))))</f>
        <v/>
      </c>
    </row>
    <row r="298" customFormat="false" ht="15" hidden="false" customHeight="false" outlineLevel="0" collapsed="false">
      <c r="A298" s="14"/>
      <c r="B298" s="14"/>
      <c r="C298" s="14"/>
      <c r="D298" s="14"/>
      <c r="E298" s="14"/>
      <c r="F298" s="14"/>
      <c r="G298" s="14"/>
      <c r="H298" s="19"/>
      <c r="I298" s="22"/>
      <c r="J298" s="22"/>
      <c r="K298" s="22"/>
      <c r="L298" s="22"/>
      <c r="M298" s="22"/>
      <c r="N298" s="22"/>
      <c r="O298" s="19"/>
      <c r="P298" s="23" t="str">
        <f aca="false">IF(I298&gt;0,K298/I298,"")</f>
        <v/>
      </c>
      <c r="Q298" s="20" t="str">
        <f aca="false">IF(K298&gt;0,H298/K298,"")</f>
        <v/>
      </c>
      <c r="R298" s="20" t="str">
        <f aca="false">IF(I298&gt;0,H298/I298*1000,"")</f>
        <v/>
      </c>
      <c r="S298" s="23" t="str">
        <f aca="false">IF(K298&gt;0,N298/K298,"")</f>
        <v/>
      </c>
      <c r="T298" s="20" t="str">
        <f aca="false">IF(N298&gt;0,H298/N298,"")</f>
        <v/>
      </c>
      <c r="U298" s="18" t="str">
        <f aca="false">IF(H298&gt;0,O298/H298,"")</f>
        <v/>
      </c>
      <c r="V298" s="20" t="str">
        <f aca="false">IF(N298&gt;0,O298/N298,"")</f>
        <v/>
      </c>
      <c r="W298" s="20" t="str">
        <f aca="false">IF(H298&gt;0,O298*الإعدادات!$B$5-H298,"")</f>
        <v/>
      </c>
      <c r="X298" s="23" t="str">
        <f aca="false">IF(AND(I298&gt;0,A298&lt;&gt;""),P298-IFERROR(INDEX(الإعدادات!$B$15:$B$18,MATCH(A298,الإعدادات!$A$15:$A$18,0)),0),"")</f>
        <v/>
      </c>
      <c r="Y298" s="12" t="str">
        <f aca="false">IF(H298="","",IF(H298&lt;الإعدادات!$B$9,"بيانات غير كافية — انتظر",IF(N298=0,"إيقاف أو إعادة بناء (إنفاق بلا مبيعات)",IF(H298/N298&gt;الإعدادات!$B$8*1.5,"خفض الميزانية + اختبار إبداعات جديدة",IF(O298/H298&gt;=الإعدادات!$B$6*1.2,"توسيع الميزانية تدريجياً",IF(O298/H298&gt;=الإعدادات!$B$7,IF(AND(X298&lt;&gt;"",X298&lt;0),"رابحة — حدّث الإبداعات لرفع CTR","رابحة — حافظ وحسّن"),"تحت التعادل — حسّن الصفحة/العرض أو أوقف"))))))</f>
        <v/>
      </c>
    </row>
    <row r="299" customFormat="false" ht="15" hidden="false" customHeight="false" outlineLevel="0" collapsed="false">
      <c r="A299" s="14"/>
      <c r="B299" s="14"/>
      <c r="C299" s="14"/>
      <c r="D299" s="14"/>
      <c r="E299" s="14"/>
      <c r="F299" s="14"/>
      <c r="G299" s="14"/>
      <c r="H299" s="19"/>
      <c r="I299" s="22"/>
      <c r="J299" s="22"/>
      <c r="K299" s="22"/>
      <c r="L299" s="22"/>
      <c r="M299" s="22"/>
      <c r="N299" s="22"/>
      <c r="O299" s="19"/>
      <c r="P299" s="23" t="str">
        <f aca="false">IF(I299&gt;0,K299/I299,"")</f>
        <v/>
      </c>
      <c r="Q299" s="20" t="str">
        <f aca="false">IF(K299&gt;0,H299/K299,"")</f>
        <v/>
      </c>
      <c r="R299" s="20" t="str">
        <f aca="false">IF(I299&gt;0,H299/I299*1000,"")</f>
        <v/>
      </c>
      <c r="S299" s="23" t="str">
        <f aca="false">IF(K299&gt;0,N299/K299,"")</f>
        <v/>
      </c>
      <c r="T299" s="20" t="str">
        <f aca="false">IF(N299&gt;0,H299/N299,"")</f>
        <v/>
      </c>
      <c r="U299" s="18" t="str">
        <f aca="false">IF(H299&gt;0,O299/H299,"")</f>
        <v/>
      </c>
      <c r="V299" s="20" t="str">
        <f aca="false">IF(N299&gt;0,O299/N299,"")</f>
        <v/>
      </c>
      <c r="W299" s="20" t="str">
        <f aca="false">IF(H299&gt;0,O299*الإعدادات!$B$5-H299,"")</f>
        <v/>
      </c>
      <c r="X299" s="23" t="str">
        <f aca="false">IF(AND(I299&gt;0,A299&lt;&gt;""),P299-IFERROR(INDEX(الإعدادات!$B$15:$B$18,MATCH(A299,الإعدادات!$A$15:$A$18,0)),0),"")</f>
        <v/>
      </c>
      <c r="Y299" s="12" t="str">
        <f aca="false">IF(H299="","",IF(H299&lt;الإعدادات!$B$9,"بيانات غير كافية — انتظر",IF(N299=0,"إيقاف أو إعادة بناء (إنفاق بلا مبيعات)",IF(H299/N299&gt;الإعدادات!$B$8*1.5,"خفض الميزانية + اختبار إبداعات جديدة",IF(O299/H299&gt;=الإعدادات!$B$6*1.2,"توسيع الميزانية تدريجياً",IF(O299/H299&gt;=الإعدادات!$B$7,IF(AND(X299&lt;&gt;"",X299&lt;0),"رابحة — حدّث الإبداعات لرفع CTR","رابحة — حافظ وحسّن"),"تحت التعادل — حسّن الصفحة/العرض أو أوقف"))))))</f>
        <v/>
      </c>
    </row>
    <row r="300" customFormat="false" ht="15" hidden="false" customHeight="false" outlineLevel="0" collapsed="false">
      <c r="A300" s="14"/>
      <c r="B300" s="14"/>
      <c r="C300" s="14"/>
      <c r="D300" s="14"/>
      <c r="E300" s="14"/>
      <c r="F300" s="14"/>
      <c r="G300" s="14"/>
      <c r="H300" s="19"/>
      <c r="I300" s="22"/>
      <c r="J300" s="22"/>
      <c r="K300" s="22"/>
      <c r="L300" s="22"/>
      <c r="M300" s="22"/>
      <c r="N300" s="22"/>
      <c r="O300" s="19"/>
      <c r="P300" s="23" t="str">
        <f aca="false">IF(I300&gt;0,K300/I300,"")</f>
        <v/>
      </c>
      <c r="Q300" s="20" t="str">
        <f aca="false">IF(K300&gt;0,H300/K300,"")</f>
        <v/>
      </c>
      <c r="R300" s="20" t="str">
        <f aca="false">IF(I300&gt;0,H300/I300*1000,"")</f>
        <v/>
      </c>
      <c r="S300" s="23" t="str">
        <f aca="false">IF(K300&gt;0,N300/K300,"")</f>
        <v/>
      </c>
      <c r="T300" s="20" t="str">
        <f aca="false">IF(N300&gt;0,H300/N300,"")</f>
        <v/>
      </c>
      <c r="U300" s="18" t="str">
        <f aca="false">IF(H300&gt;0,O300/H300,"")</f>
        <v/>
      </c>
      <c r="V300" s="20" t="str">
        <f aca="false">IF(N300&gt;0,O300/N300,"")</f>
        <v/>
      </c>
      <c r="W300" s="20" t="str">
        <f aca="false">IF(H300&gt;0,O300*الإعدادات!$B$5-H300,"")</f>
        <v/>
      </c>
      <c r="X300" s="23" t="str">
        <f aca="false">IF(AND(I300&gt;0,A300&lt;&gt;""),P300-IFERROR(INDEX(الإعدادات!$B$15:$B$18,MATCH(A300,الإعدادات!$A$15:$A$18,0)),0),"")</f>
        <v/>
      </c>
      <c r="Y300" s="12" t="str">
        <f aca="false">IF(H300="","",IF(H300&lt;الإعدادات!$B$9,"بيانات غير كافية — انتظر",IF(N300=0,"إيقاف أو إعادة بناء (إنفاق بلا مبيعات)",IF(H300/N300&gt;الإعدادات!$B$8*1.5,"خفض الميزانية + اختبار إبداعات جديدة",IF(O300/H300&gt;=الإعدادات!$B$6*1.2,"توسيع الميزانية تدريجياً",IF(O300/H300&gt;=الإعدادات!$B$7,IF(AND(X300&lt;&gt;"",X300&lt;0),"رابحة — حدّث الإبداعات لرفع CTR","رابحة — حافظ وحسّن"),"تحت التعادل — حسّن الصفحة/العرض أو أوقف"))))))</f>
        <v/>
      </c>
    </row>
    <row r="301" customFormat="false" ht="15" hidden="false" customHeight="false" outlineLevel="0" collapsed="false">
      <c r="A301" s="14"/>
      <c r="B301" s="14"/>
      <c r="C301" s="14"/>
      <c r="D301" s="14"/>
      <c r="E301" s="14"/>
      <c r="F301" s="14"/>
      <c r="G301" s="14"/>
      <c r="H301" s="19"/>
      <c r="I301" s="22"/>
      <c r="J301" s="22"/>
      <c r="K301" s="22"/>
      <c r="L301" s="22"/>
      <c r="M301" s="22"/>
      <c r="N301" s="22"/>
      <c r="O301" s="19"/>
      <c r="P301" s="23" t="str">
        <f aca="false">IF(I301&gt;0,K301/I301,"")</f>
        <v/>
      </c>
      <c r="Q301" s="20" t="str">
        <f aca="false">IF(K301&gt;0,H301/K301,"")</f>
        <v/>
      </c>
      <c r="R301" s="20" t="str">
        <f aca="false">IF(I301&gt;0,H301/I301*1000,"")</f>
        <v/>
      </c>
      <c r="S301" s="23" t="str">
        <f aca="false">IF(K301&gt;0,N301/K301,"")</f>
        <v/>
      </c>
      <c r="T301" s="20" t="str">
        <f aca="false">IF(N301&gt;0,H301/N301,"")</f>
        <v/>
      </c>
      <c r="U301" s="18" t="str">
        <f aca="false">IF(H301&gt;0,O301/H301,"")</f>
        <v/>
      </c>
      <c r="V301" s="20" t="str">
        <f aca="false">IF(N301&gt;0,O301/N301,"")</f>
        <v/>
      </c>
      <c r="W301" s="20" t="str">
        <f aca="false">IF(H301&gt;0,O301*الإعدادات!$B$5-H301,"")</f>
        <v/>
      </c>
      <c r="X301" s="23" t="str">
        <f aca="false">IF(AND(I301&gt;0,A301&lt;&gt;""),P301-IFERROR(INDEX(الإعدادات!$B$15:$B$18,MATCH(A301,الإعدادات!$A$15:$A$18,0)),0),"")</f>
        <v/>
      </c>
      <c r="Y301" s="12" t="str">
        <f aca="false">IF(H301="","",IF(H301&lt;الإعدادات!$B$9,"بيانات غير كافية — انتظر",IF(N301=0,"إيقاف أو إعادة بناء (إنفاق بلا مبيعات)",IF(H301/N301&gt;الإعدادات!$B$8*1.5,"خفض الميزانية + اختبار إبداعات جديدة",IF(O301/H301&gt;=الإعدادات!$B$6*1.2,"توسيع الميزانية تدريجياً",IF(O301/H301&gt;=الإعدادات!$B$7,IF(AND(X301&lt;&gt;"",X301&lt;0),"رابحة — حدّث الإبداعات لرفع CTR","رابحة — حافظ وحسّن"),"تحت التعادل — حسّن الصفحة/العرض أو أوقف"))))))</f>
        <v/>
      </c>
    </row>
    <row r="302" customFormat="false" ht="15" hidden="false" customHeight="false" outlineLevel="0" collapsed="false">
      <c r="A302" s="14"/>
      <c r="B302" s="14"/>
      <c r="C302" s="14"/>
      <c r="D302" s="14"/>
      <c r="E302" s="14"/>
      <c r="F302" s="14"/>
      <c r="G302" s="14"/>
      <c r="H302" s="19"/>
      <c r="I302" s="22"/>
      <c r="J302" s="22"/>
      <c r="K302" s="22"/>
      <c r="L302" s="22"/>
      <c r="M302" s="22"/>
      <c r="N302" s="22"/>
      <c r="O302" s="19"/>
      <c r="P302" s="23" t="str">
        <f aca="false">IF(I302&gt;0,K302/I302,"")</f>
        <v/>
      </c>
      <c r="Q302" s="20" t="str">
        <f aca="false">IF(K302&gt;0,H302/K302,"")</f>
        <v/>
      </c>
      <c r="R302" s="20" t="str">
        <f aca="false">IF(I302&gt;0,H302/I302*1000,"")</f>
        <v/>
      </c>
      <c r="S302" s="23" t="str">
        <f aca="false">IF(K302&gt;0,N302/K302,"")</f>
        <v/>
      </c>
      <c r="T302" s="20" t="str">
        <f aca="false">IF(N302&gt;0,H302/N302,"")</f>
        <v/>
      </c>
      <c r="U302" s="18" t="str">
        <f aca="false">IF(H302&gt;0,O302/H302,"")</f>
        <v/>
      </c>
      <c r="V302" s="20" t="str">
        <f aca="false">IF(N302&gt;0,O302/N302,"")</f>
        <v/>
      </c>
      <c r="W302" s="20" t="str">
        <f aca="false">IF(H302&gt;0,O302*الإعدادات!$B$5-H302,"")</f>
        <v/>
      </c>
      <c r="X302" s="23" t="str">
        <f aca="false">IF(AND(I302&gt;0,A302&lt;&gt;""),P302-IFERROR(INDEX(الإعدادات!$B$15:$B$18,MATCH(A302,الإعدادات!$A$15:$A$18,0)),0),"")</f>
        <v/>
      </c>
      <c r="Y302" s="12" t="str">
        <f aca="false">IF(H302="","",IF(H302&lt;الإعدادات!$B$9,"بيانات غير كافية — انتظر",IF(N302=0,"إيقاف أو إعادة بناء (إنفاق بلا مبيعات)",IF(H302/N302&gt;الإعدادات!$B$8*1.5,"خفض الميزانية + اختبار إبداعات جديدة",IF(O302/H302&gt;=الإعدادات!$B$6*1.2,"توسيع الميزانية تدريجياً",IF(O302/H302&gt;=الإعدادات!$B$7,IF(AND(X302&lt;&gt;"",X302&lt;0),"رابحة — حدّث الإبداعات لرفع CTR","رابحة — حافظ وحسّن"),"تحت التعادل — حسّن الصفحة/العرض أو أوقف"))))))</f>
        <v/>
      </c>
    </row>
    <row r="303" customFormat="false" ht="15" hidden="false" customHeight="false" outlineLevel="0" collapsed="false">
      <c r="A303" s="14"/>
      <c r="B303" s="14"/>
      <c r="C303" s="14"/>
      <c r="D303" s="14"/>
      <c r="E303" s="14"/>
      <c r="F303" s="14"/>
      <c r="G303" s="14"/>
      <c r="H303" s="19"/>
      <c r="I303" s="22"/>
      <c r="J303" s="22"/>
      <c r="K303" s="22"/>
      <c r="L303" s="22"/>
      <c r="M303" s="22"/>
      <c r="N303" s="22"/>
      <c r="O303" s="19"/>
      <c r="P303" s="23" t="str">
        <f aca="false">IF(I303&gt;0,K303/I303,"")</f>
        <v/>
      </c>
      <c r="Q303" s="20" t="str">
        <f aca="false">IF(K303&gt;0,H303/K303,"")</f>
        <v/>
      </c>
      <c r="R303" s="20" t="str">
        <f aca="false">IF(I303&gt;0,H303/I303*1000,"")</f>
        <v/>
      </c>
      <c r="S303" s="23" t="str">
        <f aca="false">IF(K303&gt;0,N303/K303,"")</f>
        <v/>
      </c>
      <c r="T303" s="20" t="str">
        <f aca="false">IF(N303&gt;0,H303/N303,"")</f>
        <v/>
      </c>
      <c r="U303" s="18" t="str">
        <f aca="false">IF(H303&gt;0,O303/H303,"")</f>
        <v/>
      </c>
      <c r="V303" s="20" t="str">
        <f aca="false">IF(N303&gt;0,O303/N303,"")</f>
        <v/>
      </c>
      <c r="W303" s="20" t="str">
        <f aca="false">IF(H303&gt;0,O303*الإعدادات!$B$5-H303,"")</f>
        <v/>
      </c>
      <c r="X303" s="23" t="str">
        <f aca="false">IF(AND(I303&gt;0,A303&lt;&gt;""),P303-IFERROR(INDEX(الإعدادات!$B$15:$B$18,MATCH(A303,الإعدادات!$A$15:$A$18,0)),0),"")</f>
        <v/>
      </c>
      <c r="Y303" s="12" t="str">
        <f aca="false">IF(H303="","",IF(H303&lt;الإعدادات!$B$9,"بيانات غير كافية — انتظر",IF(N303=0,"إيقاف أو إعادة بناء (إنفاق بلا مبيعات)",IF(H303/N303&gt;الإعدادات!$B$8*1.5,"خفض الميزانية + اختبار إبداعات جديدة",IF(O303/H303&gt;=الإعدادات!$B$6*1.2,"توسيع الميزانية تدريجياً",IF(O303/H303&gt;=الإعدادات!$B$7,IF(AND(X303&lt;&gt;"",X303&lt;0),"رابحة — حدّث الإبداعات لرفع CTR","رابحة — حافظ وحسّن"),"تحت التعادل — حسّن الصفحة/العرض أو أوقف"))))))</f>
        <v/>
      </c>
    </row>
  </sheetData>
  <autoFilter ref="A3:Y303"/>
  <conditionalFormatting sqref="Y4:Y303">
    <cfRule type="expression" priority="2" aboveAverage="0" equalAverage="0" bottom="0" percent="0" rank="0" text="" dxfId="6">
      <formula>ISNUMBER(SEARCH("توسيع",Y4))</formula>
    </cfRule>
    <cfRule type="expression" priority="3" aboveAverage="0" equalAverage="0" bottom="0" percent="0" rank="0" text="" dxfId="7">
      <formula>OR(ISNUMBER(SEARCH("إيقاف",Y4)),ISNUMBER(SEARCH("خفض",Y4)),ISNUMBER(SEARCH("تحت",Y4)))</formula>
    </cfRule>
    <cfRule type="expression" priority="4" aboveAverage="0" equalAverage="0" bottom="0" percent="0" rank="0" text="" dxfId="8">
      <formula>ISNUMBER(SEARCH("رابحة",Y4))</formula>
    </cfRule>
  </conditionalFormatting>
  <conditionalFormatting sqref="W4:W303">
    <cfRule type="cellIs" priority="5" operator="lessThan" aboveAverage="0" equalAverage="0" bottom="0" percent="0" rank="0" text="" dxfId="9">
      <formula>0</formula>
    </cfRule>
  </conditionalFormatting>
  <dataValidations count="2">
    <dataValidation allowBlank="true" errorStyle="stop" operator="between" showDropDown="false" showErrorMessage="false" showInputMessage="false" sqref="A4:A303" type="list">
      <formula1>"Meta,TikTok,Snapchat,Google Ads"</formula1>
      <formula2>0</formula2>
    </dataValidation>
    <dataValidation allowBlank="true" errorStyle="stop" operator="between" showDropDown="false" showErrorMessage="false" showInputMessage="false" sqref="G4:G303" type="list">
      <formula1>"2026-04,2026-05,2026-06,2026-07,2026-08,2026-09,2026-10"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15"/>
    <col collapsed="false" customWidth="true" hidden="false" outlineLevel="0" max="5" min="4" style="0" width="12"/>
    <col collapsed="false" customWidth="true" hidden="false" outlineLevel="0" max="6" min="6" style="0" width="15"/>
    <col collapsed="false" customWidth="true" hidden="false" outlineLevel="0" max="8" min="7" style="0" width="12"/>
    <col collapsed="false" customWidth="true" hidden="false" outlineLevel="0" max="9" min="9" style="0" width="14"/>
    <col collapsed="false" customWidth="true" hidden="false" outlineLevel="0" max="12" min="10" style="0" width="11"/>
  </cols>
  <sheetData>
    <row r="1" customFormat="false" ht="18.65" hidden="false" customHeight="false" outlineLevel="0" collapsed="false">
      <c r="A1" s="1" t="s">
        <v>115</v>
      </c>
      <c r="B1" s="2"/>
      <c r="C1" s="2"/>
      <c r="D1" s="2"/>
      <c r="E1" s="2"/>
      <c r="F1" s="2"/>
      <c r="G1" s="2"/>
      <c r="H1" s="2"/>
      <c r="I1" s="2"/>
      <c r="J1" s="2"/>
      <c r="K1" s="2"/>
      <c r="L1" s="2"/>
    </row>
    <row r="2" customFormat="false" ht="15" hidden="false" customHeight="false" outlineLevel="0" collapsed="false">
      <c r="A2" s="3" t="s">
        <v>116</v>
      </c>
      <c r="B2" s="2"/>
      <c r="C2" s="2"/>
      <c r="D2" s="2"/>
      <c r="E2" s="2"/>
      <c r="F2" s="2"/>
      <c r="G2" s="2"/>
      <c r="H2" s="2"/>
      <c r="I2" s="2"/>
      <c r="J2" s="2"/>
      <c r="K2" s="2"/>
      <c r="L2" s="2"/>
    </row>
    <row r="3" customFormat="false" ht="36" hidden="false" customHeight="true" outlineLevel="0" collapsed="false">
      <c r="A3" s="9" t="s">
        <v>58</v>
      </c>
      <c r="B3" s="9" t="s">
        <v>117</v>
      </c>
      <c r="C3" s="9" t="s">
        <v>118</v>
      </c>
      <c r="D3" s="9" t="s">
        <v>119</v>
      </c>
      <c r="E3" s="9" t="s">
        <v>120</v>
      </c>
      <c r="F3" s="9" t="s">
        <v>121</v>
      </c>
      <c r="G3" s="9" t="s">
        <v>122</v>
      </c>
      <c r="H3" s="9" t="s">
        <v>108</v>
      </c>
      <c r="I3" s="9" t="s">
        <v>123</v>
      </c>
      <c r="J3" s="9" t="s">
        <v>124</v>
      </c>
      <c r="K3" s="9" t="s">
        <v>125</v>
      </c>
      <c r="L3" s="9" t="s">
        <v>126</v>
      </c>
    </row>
    <row r="4" customFormat="false" ht="15" hidden="false" customHeight="false" outlineLevel="0" collapsed="false">
      <c r="A4" s="24" t="s">
        <v>127</v>
      </c>
      <c r="B4" s="22"/>
      <c r="C4" s="19"/>
      <c r="D4" s="19"/>
      <c r="E4" s="19"/>
      <c r="F4" s="20" t="n">
        <f aca="false">C4-D4-E4</f>
        <v>0</v>
      </c>
      <c r="G4" s="22"/>
      <c r="H4" s="23" t="n">
        <f aca="false">IF(G4&gt;0,B4/G4,0)</f>
        <v>0</v>
      </c>
      <c r="I4" s="20" t="n">
        <f aca="false">IF(B4&gt;0,F4/B4,0)</f>
        <v>0</v>
      </c>
      <c r="J4" s="22"/>
      <c r="K4" s="22"/>
      <c r="L4" s="23" t="n">
        <f aca="false">IF(J4+K4&gt;0,K4/(J4+K4),0)</f>
        <v>0</v>
      </c>
    </row>
    <row r="5" customFormat="false" ht="15" hidden="false" customHeight="false" outlineLevel="0" collapsed="false">
      <c r="A5" s="24" t="s">
        <v>73</v>
      </c>
      <c r="B5" s="22"/>
      <c r="C5" s="19"/>
      <c r="D5" s="19"/>
      <c r="E5" s="19"/>
      <c r="F5" s="20" t="n">
        <f aca="false">C5-D5-E5</f>
        <v>0</v>
      </c>
      <c r="G5" s="22"/>
      <c r="H5" s="23" t="n">
        <f aca="false">IF(G5&gt;0,B5/G5,0)</f>
        <v>0</v>
      </c>
      <c r="I5" s="20" t="n">
        <f aca="false">IF(B5&gt;0,F5/B5,0)</f>
        <v>0</v>
      </c>
      <c r="J5" s="22"/>
      <c r="K5" s="22"/>
      <c r="L5" s="23" t="n">
        <f aca="false">IF(J5+K5&gt;0,K5/(J5+K5),0)</f>
        <v>0</v>
      </c>
    </row>
    <row r="6" customFormat="false" ht="15" hidden="false" customHeight="false" outlineLevel="0" collapsed="false">
      <c r="A6" s="24" t="s">
        <v>128</v>
      </c>
      <c r="B6" s="22"/>
      <c r="C6" s="19"/>
      <c r="D6" s="19"/>
      <c r="E6" s="19"/>
      <c r="F6" s="20" t="n">
        <f aca="false">C6-D6-E6</f>
        <v>0</v>
      </c>
      <c r="G6" s="22"/>
      <c r="H6" s="23" t="n">
        <f aca="false">IF(G6&gt;0,B6/G6,0)</f>
        <v>0</v>
      </c>
      <c r="I6" s="20" t="n">
        <f aca="false">IF(B6&gt;0,F6/B6,0)</f>
        <v>0</v>
      </c>
      <c r="J6" s="22"/>
      <c r="K6" s="22"/>
      <c r="L6" s="23" t="n">
        <f aca="false">IF(J6+K6&gt;0,K6/(J6+K6),0)</f>
        <v>0</v>
      </c>
    </row>
    <row r="7" customFormat="false" ht="15" hidden="false" customHeight="false" outlineLevel="0" collapsed="false">
      <c r="A7" s="24" t="s">
        <v>129</v>
      </c>
      <c r="B7" s="22"/>
      <c r="C7" s="19"/>
      <c r="D7" s="19"/>
      <c r="E7" s="19"/>
      <c r="F7" s="20" t="n">
        <f aca="false">C7-D7-E7</f>
        <v>0</v>
      </c>
      <c r="G7" s="22"/>
      <c r="H7" s="23" t="n">
        <f aca="false">IF(G7&gt;0,B7/G7,0)</f>
        <v>0</v>
      </c>
      <c r="I7" s="20" t="n">
        <f aca="false">IF(B7&gt;0,F7/B7,0)</f>
        <v>0</v>
      </c>
      <c r="J7" s="22"/>
      <c r="K7" s="22"/>
      <c r="L7" s="23" t="n">
        <f aca="false">IF(J7+K7&gt;0,K7/(J7+K7),0)</f>
        <v>0</v>
      </c>
    </row>
    <row r="8" customFormat="false" ht="15" hidden="false" customHeight="false" outlineLevel="0" collapsed="false">
      <c r="A8" s="24" t="s">
        <v>130</v>
      </c>
      <c r="B8" s="22"/>
      <c r="C8" s="19"/>
      <c r="D8" s="19"/>
      <c r="E8" s="19"/>
      <c r="F8" s="20" t="n">
        <f aca="false">C8-D8-E8</f>
        <v>0</v>
      </c>
      <c r="G8" s="22"/>
      <c r="H8" s="23" t="n">
        <f aca="false">IF(G8&gt;0,B8/G8,0)</f>
        <v>0</v>
      </c>
      <c r="I8" s="20" t="n">
        <f aca="false">IF(B8&gt;0,F8/B8,0)</f>
        <v>0</v>
      </c>
      <c r="J8" s="22"/>
      <c r="K8" s="22"/>
      <c r="L8" s="23" t="n">
        <f aca="false">IF(J8+K8&gt;0,K8/(J8+K8),0)</f>
        <v>0</v>
      </c>
    </row>
    <row r="9" customFormat="false" ht="15" hidden="false" customHeight="false" outlineLevel="0" collapsed="false">
      <c r="A9" s="24" t="s">
        <v>131</v>
      </c>
      <c r="B9" s="22"/>
      <c r="C9" s="19"/>
      <c r="D9" s="19"/>
      <c r="E9" s="19"/>
      <c r="F9" s="20" t="n">
        <f aca="false">C9-D9-E9</f>
        <v>0</v>
      </c>
      <c r="G9" s="22"/>
      <c r="H9" s="23" t="n">
        <f aca="false">IF(G9&gt;0,B9/G9,0)</f>
        <v>0</v>
      </c>
      <c r="I9" s="20" t="n">
        <f aca="false">IF(B9&gt;0,F9/B9,0)</f>
        <v>0</v>
      </c>
      <c r="J9" s="22"/>
      <c r="K9" s="22"/>
      <c r="L9" s="23" t="n">
        <f aca="false">IF(J9+K9&gt;0,K9/(J9+K9),0)</f>
        <v>0</v>
      </c>
    </row>
    <row r="10" customFormat="false" ht="15" hidden="false" customHeight="false" outlineLevel="0" collapsed="false">
      <c r="A10" s="24" t="s">
        <v>132</v>
      </c>
      <c r="B10" s="22"/>
      <c r="C10" s="19"/>
      <c r="D10" s="19"/>
      <c r="E10" s="19"/>
      <c r="F10" s="20" t="n">
        <f aca="false">C10-D10-E10</f>
        <v>0</v>
      </c>
      <c r="G10" s="22"/>
      <c r="H10" s="23" t="n">
        <f aca="false">IF(G10&gt;0,B10/G10,0)</f>
        <v>0</v>
      </c>
      <c r="I10" s="20" t="n">
        <f aca="false">IF(B10&gt;0,F10/B10,0)</f>
        <v>0</v>
      </c>
      <c r="J10" s="22"/>
      <c r="K10" s="22"/>
      <c r="L10" s="23" t="n">
        <f aca="false">IF(J10+K10&gt;0,K10/(J10+K10),0)</f>
        <v>0</v>
      </c>
    </row>
    <row r="11" customFormat="false" ht="15" hidden="false" customHeight="false" outlineLevel="0" collapsed="false">
      <c r="A11" s="25" t="s">
        <v>133</v>
      </c>
      <c r="B11" s="26" t="n">
        <f aca="false">SUM(B4:B10)</f>
        <v>0</v>
      </c>
      <c r="C11" s="27" t="n">
        <f aca="false">SUM(C4:C10)</f>
        <v>0</v>
      </c>
      <c r="D11" s="27" t="n">
        <f aca="false">SUM(D4:D10)</f>
        <v>0</v>
      </c>
      <c r="E11" s="27" t="n">
        <f aca="false">SUM(E4:E10)</f>
        <v>0</v>
      </c>
      <c r="F11" s="27" t="n">
        <f aca="false">SUM(F4:F10)</f>
        <v>0</v>
      </c>
      <c r="G11" s="26" t="n">
        <f aca="false">SUM(G4:G10)</f>
        <v>0</v>
      </c>
      <c r="H11" s="28" t="n">
        <f aca="false">IF(G11&gt;0,B11/G11,0)</f>
        <v>0</v>
      </c>
      <c r="I11" s="27" t="n">
        <f aca="false">IF(B11&gt;0,F11/B11,0)</f>
        <v>0</v>
      </c>
      <c r="J11" s="26" t="n">
        <f aca="false">SUM(J4:J10)</f>
        <v>0</v>
      </c>
      <c r="K11" s="26" t="n">
        <f aca="false">SUM(K4:K10)</f>
        <v>0</v>
      </c>
      <c r="L11" s="28" t="n">
        <f aca="false">IF(J11+K11&gt;0,K11/(J11+K11),0)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9"/>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5"/>
    <col collapsed="false" customWidth="true" hidden="false" outlineLevel="0" max="3" min="3" style="0" width="13"/>
    <col collapsed="false" customWidth="true" hidden="false" outlineLevel="0" max="6" min="4" style="0" width="12"/>
    <col collapsed="false" customWidth="true" hidden="false" outlineLevel="0" max="7" min="7" style="0" width="15"/>
    <col collapsed="false" customWidth="true" hidden="false" outlineLevel="0" max="10" min="8" style="0" width="9"/>
    <col collapsed="false" customWidth="true" hidden="false" outlineLevel="0" max="11" min="11" style="0" width="11"/>
    <col collapsed="false" customWidth="true" hidden="false" outlineLevel="0" max="12" min="12" style="0" width="10"/>
    <col collapsed="false" customWidth="true" hidden="false" outlineLevel="0" max="13" min="13" style="0" width="9"/>
    <col collapsed="false" customWidth="true" hidden="false" outlineLevel="0" max="14" min="14" style="0" width="11"/>
    <col collapsed="false" customWidth="true" hidden="false" outlineLevel="0" max="16" min="15" style="0" width="10"/>
    <col collapsed="false" customWidth="true" hidden="false" outlineLevel="0" max="17" min="17" style="0" width="15"/>
    <col collapsed="false" customWidth="true" hidden="false" outlineLevel="0" max="18" min="18" style="0" width="22"/>
  </cols>
  <sheetData>
    <row r="1" customFormat="false" ht="19.7" hidden="false" customHeight="false" outlineLevel="0" collapsed="false">
      <c r="A1" s="1" t="s">
        <v>134</v>
      </c>
      <c r="B1" s="2"/>
      <c r="C1" s="2"/>
      <c r="D1" s="2"/>
      <c r="E1" s="2"/>
      <c r="F1" s="2"/>
      <c r="G1" s="2"/>
      <c r="H1" s="2"/>
      <c r="I1" s="2"/>
      <c r="J1" s="2"/>
      <c r="K1" s="2"/>
      <c r="L1" s="2"/>
      <c r="M1" s="2"/>
      <c r="N1" s="2"/>
      <c r="O1" s="2"/>
      <c r="P1" s="2"/>
      <c r="Q1" s="2"/>
      <c r="R1" s="2"/>
    </row>
    <row r="2" customFormat="false" ht="15" hidden="false" customHeight="false" outlineLevel="0" collapsed="false">
      <c r="A2" s="3" t="s">
        <v>135</v>
      </c>
      <c r="B2" s="2"/>
      <c r="C2" s="2"/>
      <c r="D2" s="2"/>
      <c r="E2" s="2"/>
      <c r="F2" s="2"/>
      <c r="G2" s="2"/>
      <c r="H2" s="2"/>
      <c r="I2" s="2"/>
      <c r="J2" s="2"/>
      <c r="K2" s="2"/>
      <c r="L2" s="2"/>
      <c r="M2" s="2"/>
      <c r="N2" s="2"/>
      <c r="O2" s="2"/>
      <c r="P2" s="2"/>
      <c r="Q2" s="2"/>
      <c r="R2" s="2"/>
    </row>
    <row r="3" customFormat="false" ht="15" hidden="false" customHeight="false" outlineLevel="0" collapsed="false">
      <c r="A3" s="2"/>
      <c r="B3" s="2"/>
      <c r="C3" s="2"/>
      <c r="D3" s="2"/>
      <c r="E3" s="2"/>
      <c r="F3" s="2"/>
      <c r="G3" s="2"/>
      <c r="H3" s="2"/>
      <c r="I3" s="2"/>
      <c r="J3" s="2"/>
      <c r="K3" s="2"/>
      <c r="L3" s="2"/>
      <c r="M3" s="2"/>
      <c r="N3" s="2"/>
      <c r="O3" s="2"/>
      <c r="P3" s="2"/>
      <c r="Q3" s="2"/>
      <c r="R3" s="2"/>
    </row>
    <row r="4" customFormat="false" ht="36" hidden="false" customHeight="true" outlineLevel="0" collapsed="false">
      <c r="A4" s="9" t="s">
        <v>53</v>
      </c>
      <c r="B4" s="9" t="s">
        <v>59</v>
      </c>
      <c r="C4" s="9" t="s">
        <v>60</v>
      </c>
      <c r="D4" s="9" t="s">
        <v>62</v>
      </c>
      <c r="E4" s="9" t="s">
        <v>63</v>
      </c>
      <c r="F4" s="9" t="s">
        <v>65</v>
      </c>
      <c r="G4" s="9" t="s">
        <v>66</v>
      </c>
      <c r="H4" s="9" t="s">
        <v>105</v>
      </c>
      <c r="I4" s="9" t="s">
        <v>106</v>
      </c>
      <c r="J4" s="9" t="s">
        <v>107</v>
      </c>
      <c r="K4" s="9" t="s">
        <v>108</v>
      </c>
      <c r="L4" s="9" t="s">
        <v>109</v>
      </c>
      <c r="M4" s="9" t="s">
        <v>110</v>
      </c>
      <c r="N4" s="9" t="s">
        <v>111</v>
      </c>
      <c r="O4" s="9" t="s">
        <v>136</v>
      </c>
      <c r="P4" s="9" t="s">
        <v>137</v>
      </c>
      <c r="Q4" s="9" t="s">
        <v>112</v>
      </c>
      <c r="R4" s="9" t="s">
        <v>138</v>
      </c>
    </row>
    <row r="5" customFormat="false" ht="15" hidden="false" customHeight="false" outlineLevel="0" collapsed="false">
      <c r="A5" s="24" t="s">
        <v>67</v>
      </c>
      <c r="B5" s="20" t="n">
        <f aca="false">SUMIFS(بيانات_الحملات!$H$4:$H$303,بيانات_الحملات!$A$4:$A$303,$A5)</f>
        <v>0</v>
      </c>
      <c r="C5" s="29" t="n">
        <f aca="false">SUMIFS(بيانات_الحملات!$I$4:$I$303,بيانات_الحملات!$A$4:$A$303,$A5)</f>
        <v>0</v>
      </c>
      <c r="D5" s="29" t="n">
        <f aca="false">SUMIFS(بيانات_الحملات!$K$4:$K$303,بيانات_الحملات!$A$4:$A$303,$A5)</f>
        <v>0</v>
      </c>
      <c r="E5" s="29" t="n">
        <f aca="false">SUMIFS(بيانات_الحملات!$L$4:$L$303,بيانات_الحملات!$A$4:$A$303,$A5)</f>
        <v>0</v>
      </c>
      <c r="F5" s="29" t="n">
        <f aca="false">SUMIFS(بيانات_الحملات!$N$4:$N$303,بيانات_الحملات!$A$4:$A$303,$A5)</f>
        <v>0</v>
      </c>
      <c r="G5" s="20" t="n">
        <f aca="false">SUMIFS(بيانات_الحملات!$O$4:$O$303,بيانات_الحملات!$A$4:$A$303,$A5)</f>
        <v>0</v>
      </c>
      <c r="H5" s="23" t="n">
        <f aca="false">IF(C5&gt;0,D5/C5,0)</f>
        <v>0</v>
      </c>
      <c r="I5" s="20" t="n">
        <f aca="false">IF(D5&gt;0,B5/D5,0)</f>
        <v>0</v>
      </c>
      <c r="J5" s="20" t="n">
        <f aca="false">IF(C5&gt;0,B5/C5*1000,0)</f>
        <v>0</v>
      </c>
      <c r="K5" s="23" t="n">
        <f aca="false">IF(D5&gt;0,F5/D5,0)</f>
        <v>0</v>
      </c>
      <c r="L5" s="20" t="n">
        <f aca="false">IF(F5&gt;0,B5/F5,0)</f>
        <v>0</v>
      </c>
      <c r="M5" s="18" t="n">
        <f aca="false">IF(B5&gt;0,G5/B5,0)</f>
        <v>0</v>
      </c>
      <c r="N5" s="20" t="n">
        <f aca="false">IF(F5&gt;0,G5/F5,0)</f>
        <v>0</v>
      </c>
      <c r="O5" s="23" t="n">
        <f aca="false">IF($B$9&gt;0,B5/$B$9,0)</f>
        <v>0</v>
      </c>
      <c r="P5" s="23" t="n">
        <f aca="false">IF($G$9&gt;0,G5/$G$9,0)</f>
        <v>0</v>
      </c>
      <c r="Q5" s="20" t="n">
        <f aca="false">G5*الإعدادات!$B$5-B5</f>
        <v>0</v>
      </c>
      <c r="R5" s="12" t="str">
        <f aca="false">IF(B5=0,"لا بيانات",IF(M5&gt;=الإعدادات!$B$6,"ممتاز — وسّع",IF(M5&gt;=الإعدادات!$B$7,"رابح — حسّن","خاسر — أعد الهيكلة")))</f>
        <v>لا بيانات</v>
      </c>
    </row>
    <row r="6" customFormat="false" ht="15" hidden="false" customHeight="false" outlineLevel="0" collapsed="false">
      <c r="A6" s="24" t="s">
        <v>97</v>
      </c>
      <c r="B6" s="20" t="n">
        <f aca="false">SUMIFS(بيانات_الحملات!$H$4:$H$303,بيانات_الحملات!$A$4:$A$303,$A6)</f>
        <v>0</v>
      </c>
      <c r="C6" s="29" t="n">
        <f aca="false">SUMIFS(بيانات_الحملات!$I$4:$I$303,بيانات_الحملات!$A$4:$A$303,$A6)</f>
        <v>0</v>
      </c>
      <c r="D6" s="29" t="n">
        <f aca="false">SUMIFS(بيانات_الحملات!$K$4:$K$303,بيانات_الحملات!$A$4:$A$303,$A6)</f>
        <v>0</v>
      </c>
      <c r="E6" s="29" t="n">
        <f aca="false">SUMIFS(بيانات_الحملات!$L$4:$L$303,بيانات_الحملات!$A$4:$A$303,$A6)</f>
        <v>0</v>
      </c>
      <c r="F6" s="29" t="n">
        <f aca="false">SUMIFS(بيانات_الحملات!$N$4:$N$303,بيانات_الحملات!$A$4:$A$303,$A6)</f>
        <v>0</v>
      </c>
      <c r="G6" s="20" t="n">
        <f aca="false">SUMIFS(بيانات_الحملات!$O$4:$O$303,بيانات_الحملات!$A$4:$A$303,$A6)</f>
        <v>0</v>
      </c>
      <c r="H6" s="23" t="n">
        <f aca="false">IF(C6&gt;0,D6/C6,0)</f>
        <v>0</v>
      </c>
      <c r="I6" s="20" t="n">
        <f aca="false">IF(D6&gt;0,B6/D6,0)</f>
        <v>0</v>
      </c>
      <c r="J6" s="20" t="n">
        <f aca="false">IF(C6&gt;0,B6/C6*1000,0)</f>
        <v>0</v>
      </c>
      <c r="K6" s="23" t="n">
        <f aca="false">IF(D6&gt;0,F6/D6,0)</f>
        <v>0</v>
      </c>
      <c r="L6" s="20" t="n">
        <f aca="false">IF(F6&gt;0,B6/F6,0)</f>
        <v>0</v>
      </c>
      <c r="M6" s="18" t="n">
        <f aca="false">IF(B6&gt;0,G6/B6,0)</f>
        <v>0</v>
      </c>
      <c r="N6" s="20" t="n">
        <f aca="false">IF(F6&gt;0,G6/F6,0)</f>
        <v>0</v>
      </c>
      <c r="O6" s="23" t="n">
        <f aca="false">IF($B$9&gt;0,B6/$B$9,0)</f>
        <v>0</v>
      </c>
      <c r="P6" s="23" t="n">
        <f aca="false">IF($G$9&gt;0,G6/$G$9,0)</f>
        <v>0</v>
      </c>
      <c r="Q6" s="20" t="n">
        <f aca="false">G6*الإعدادات!$B$5-B6</f>
        <v>0</v>
      </c>
      <c r="R6" s="12" t="str">
        <f aca="false">IF(B6=0,"لا بيانات",IF(M6&gt;=الإعدادات!$B$6,"ممتاز — وسّع",IF(M6&gt;=الإعدادات!$B$7,"رابح — حسّن","خاسر — أعد الهيكلة")))</f>
        <v>لا بيانات</v>
      </c>
    </row>
    <row r="7" customFormat="false" ht="15" hidden="false" customHeight="false" outlineLevel="0" collapsed="false">
      <c r="A7" s="24" t="s">
        <v>99</v>
      </c>
      <c r="B7" s="20" t="n">
        <f aca="false">SUMIFS(بيانات_الحملات!$H$4:$H$303,بيانات_الحملات!$A$4:$A$303,$A7)</f>
        <v>0</v>
      </c>
      <c r="C7" s="29" t="n">
        <f aca="false">SUMIFS(بيانات_الحملات!$I$4:$I$303,بيانات_الحملات!$A$4:$A$303,$A7)</f>
        <v>0</v>
      </c>
      <c r="D7" s="29" t="n">
        <f aca="false">SUMIFS(بيانات_الحملات!$K$4:$K$303,بيانات_الحملات!$A$4:$A$303,$A7)</f>
        <v>0</v>
      </c>
      <c r="E7" s="29" t="n">
        <f aca="false">SUMIFS(بيانات_الحملات!$L$4:$L$303,بيانات_الحملات!$A$4:$A$303,$A7)</f>
        <v>0</v>
      </c>
      <c r="F7" s="29" t="n">
        <f aca="false">SUMIFS(بيانات_الحملات!$N$4:$N$303,بيانات_الحملات!$A$4:$A$303,$A7)</f>
        <v>0</v>
      </c>
      <c r="G7" s="20" t="n">
        <f aca="false">SUMIFS(بيانات_الحملات!$O$4:$O$303,بيانات_الحملات!$A$4:$A$303,$A7)</f>
        <v>0</v>
      </c>
      <c r="H7" s="23" t="n">
        <f aca="false">IF(C7&gt;0,D7/C7,0)</f>
        <v>0</v>
      </c>
      <c r="I7" s="20" t="n">
        <f aca="false">IF(D7&gt;0,B7/D7,0)</f>
        <v>0</v>
      </c>
      <c r="J7" s="20" t="n">
        <f aca="false">IF(C7&gt;0,B7/C7*1000,0)</f>
        <v>0</v>
      </c>
      <c r="K7" s="23" t="n">
        <f aca="false">IF(D7&gt;0,F7/D7,0)</f>
        <v>0</v>
      </c>
      <c r="L7" s="20" t="n">
        <f aca="false">IF(F7&gt;0,B7/F7,0)</f>
        <v>0</v>
      </c>
      <c r="M7" s="18" t="n">
        <f aca="false">IF(B7&gt;0,G7/B7,0)</f>
        <v>0</v>
      </c>
      <c r="N7" s="20" t="n">
        <f aca="false">IF(F7&gt;0,G7/F7,0)</f>
        <v>0</v>
      </c>
      <c r="O7" s="23" t="n">
        <f aca="false">IF($B$9&gt;0,B7/$B$9,0)</f>
        <v>0</v>
      </c>
      <c r="P7" s="23" t="n">
        <f aca="false">IF($G$9&gt;0,G7/$G$9,0)</f>
        <v>0</v>
      </c>
      <c r="Q7" s="20" t="n">
        <f aca="false">G7*الإعدادات!$B$5-B7</f>
        <v>0</v>
      </c>
      <c r="R7" s="12" t="str">
        <f aca="false">IF(B7=0,"لا بيانات",IF(M7&gt;=الإعدادات!$B$6,"ممتاز — وسّع",IF(M7&gt;=الإعدادات!$B$7,"رابح — حسّن","خاسر — أعد الهيكلة")))</f>
        <v>لا بيانات</v>
      </c>
    </row>
    <row r="8" customFormat="false" ht="15" hidden="false" customHeight="false" outlineLevel="0" collapsed="false">
      <c r="A8" s="24" t="s">
        <v>48</v>
      </c>
      <c r="B8" s="20" t="n">
        <f aca="false">SUMIFS(بيانات_الحملات!$H$4:$H$303,بيانات_الحملات!$A$4:$A$303,$A8)</f>
        <v>0</v>
      </c>
      <c r="C8" s="29" t="n">
        <f aca="false">SUMIFS(بيانات_الحملات!$I$4:$I$303,بيانات_الحملات!$A$4:$A$303,$A8)</f>
        <v>0</v>
      </c>
      <c r="D8" s="29" t="n">
        <f aca="false">SUMIFS(بيانات_الحملات!$K$4:$K$303,بيانات_الحملات!$A$4:$A$303,$A8)</f>
        <v>0</v>
      </c>
      <c r="E8" s="29" t="n">
        <f aca="false">SUMIFS(بيانات_الحملات!$L$4:$L$303,بيانات_الحملات!$A$4:$A$303,$A8)</f>
        <v>0</v>
      </c>
      <c r="F8" s="29" t="n">
        <f aca="false">SUMIFS(بيانات_الحملات!$N$4:$N$303,بيانات_الحملات!$A$4:$A$303,$A8)</f>
        <v>0</v>
      </c>
      <c r="G8" s="20" t="n">
        <f aca="false">SUMIFS(بيانات_الحملات!$O$4:$O$303,بيانات_الحملات!$A$4:$A$303,$A8)</f>
        <v>0</v>
      </c>
      <c r="H8" s="23" t="n">
        <f aca="false">IF(C8&gt;0,D8/C8,0)</f>
        <v>0</v>
      </c>
      <c r="I8" s="20" t="n">
        <f aca="false">IF(D8&gt;0,B8/D8,0)</f>
        <v>0</v>
      </c>
      <c r="J8" s="20" t="n">
        <f aca="false">IF(C8&gt;0,B8/C8*1000,0)</f>
        <v>0</v>
      </c>
      <c r="K8" s="23" t="n">
        <f aca="false">IF(D8&gt;0,F8/D8,0)</f>
        <v>0</v>
      </c>
      <c r="L8" s="20" t="n">
        <f aca="false">IF(F8&gt;0,B8/F8,0)</f>
        <v>0</v>
      </c>
      <c r="M8" s="18" t="n">
        <f aca="false">IF(B8&gt;0,G8/B8,0)</f>
        <v>0</v>
      </c>
      <c r="N8" s="20" t="n">
        <f aca="false">IF(F8&gt;0,G8/F8,0)</f>
        <v>0</v>
      </c>
      <c r="O8" s="23" t="n">
        <f aca="false">IF($B$9&gt;0,B8/$B$9,0)</f>
        <v>0</v>
      </c>
      <c r="P8" s="23" t="n">
        <f aca="false">IF($G$9&gt;0,G8/$G$9,0)</f>
        <v>0</v>
      </c>
      <c r="Q8" s="20" t="n">
        <f aca="false">G8*الإعدادات!$B$5-B8</f>
        <v>0</v>
      </c>
      <c r="R8" s="12" t="str">
        <f aca="false">IF(B8=0,"لا بيانات",IF(M8&gt;=الإعدادات!$B$6,"ممتاز — وسّع",IF(M8&gt;=الإعدادات!$B$7,"رابح — حسّن","خاسر — أعد الهيكلة")))</f>
        <v>لا بيانات</v>
      </c>
    </row>
    <row r="9" customFormat="false" ht="15" hidden="false" customHeight="false" outlineLevel="0" collapsed="false">
      <c r="A9" s="25" t="s">
        <v>133</v>
      </c>
      <c r="B9" s="27" t="n">
        <f aca="false">SUM(B5:B8)</f>
        <v>0</v>
      </c>
      <c r="C9" s="26" t="n">
        <f aca="false">SUM(C5:C8)</f>
        <v>0</v>
      </c>
      <c r="D9" s="26" t="n">
        <f aca="false">SUM(D5:D8)</f>
        <v>0</v>
      </c>
      <c r="E9" s="26" t="n">
        <f aca="false">SUM(E5:E8)</f>
        <v>0</v>
      </c>
      <c r="F9" s="26" t="n">
        <f aca="false">SUM(F5:F8)</f>
        <v>0</v>
      </c>
      <c r="G9" s="27" t="n">
        <f aca="false">SUM(G5:G8)</f>
        <v>0</v>
      </c>
      <c r="H9" s="28" t="n">
        <f aca="false">IF(C9&gt;0,D9/C9,0)</f>
        <v>0</v>
      </c>
      <c r="I9" s="27" t="n">
        <f aca="false">IF(D9&gt;0,B9/D9,0)</f>
        <v>0</v>
      </c>
      <c r="J9" s="27" t="n">
        <f aca="false">IF(C9&gt;0,B9/C9*1000,0)</f>
        <v>0</v>
      </c>
      <c r="K9" s="28" t="n">
        <f aca="false">IF(D9&gt;0,F9/D9,0)</f>
        <v>0</v>
      </c>
      <c r="L9" s="27" t="n">
        <f aca="false">IF(F9&gt;0,B9/F9,0)</f>
        <v>0</v>
      </c>
      <c r="M9" s="30" t="n">
        <f aca="false">IF(B9&gt;0,G9/B9,0)</f>
        <v>0</v>
      </c>
      <c r="N9" s="27" t="n">
        <f aca="false">IF(F9&gt;0,G9/F9,0)</f>
        <v>0</v>
      </c>
      <c r="O9" s="28" t="n">
        <f aca="false">IF($B$9&gt;0,B9/$B$9,0)</f>
        <v>0</v>
      </c>
      <c r="P9" s="28" t="n">
        <f aca="false">IF($G$9&gt;0,G9/$G$9,0)</f>
        <v>0</v>
      </c>
      <c r="Q9" s="27" t="n">
        <f aca="false">G9*الإعدادات!$B$5-B9</f>
        <v>0</v>
      </c>
      <c r="R9" s="25" t="str">
        <f aca="false">IF(B9=0,"لا بيانات",IF(M9&gt;=الإعدادات!$B$6,"ممتاز — وسّع",IF(M9&gt;=الإعدادات!$B$7,"رابح — حسّن","خاسر — أعد الهيكلة")))</f>
        <v>لا بيانات</v>
      </c>
    </row>
    <row r="10" customFormat="false" ht="15" hidden="false" customHeight="false" outlineLevel="0" collapsed="false">
      <c r="A10" s="2"/>
      <c r="B10" s="2"/>
      <c r="C10" s="2"/>
      <c r="D10" s="2"/>
      <c r="E10" s="2"/>
      <c r="F10" s="2"/>
      <c r="G10" s="2"/>
      <c r="H10" s="2"/>
      <c r="I10" s="2"/>
      <c r="J10" s="2"/>
      <c r="K10" s="2"/>
      <c r="L10" s="2"/>
      <c r="M10" s="2"/>
      <c r="N10" s="2"/>
      <c r="O10" s="2"/>
      <c r="P10" s="2"/>
      <c r="Q10" s="2"/>
      <c r="R10" s="2"/>
    </row>
    <row r="11" customFormat="false" ht="15" hidden="false" customHeight="false" outlineLevel="0" collapsed="false">
      <c r="A11" s="2"/>
      <c r="B11" s="2"/>
      <c r="C11" s="2"/>
      <c r="D11" s="2"/>
      <c r="E11" s="2"/>
      <c r="F11" s="2"/>
      <c r="G11" s="2"/>
      <c r="H11" s="2"/>
      <c r="I11" s="2"/>
      <c r="J11" s="2"/>
      <c r="K11" s="2"/>
      <c r="L11" s="2"/>
      <c r="M11" s="2"/>
      <c r="N11" s="2"/>
      <c r="O11" s="2"/>
      <c r="P11" s="2"/>
      <c r="Q11" s="2"/>
      <c r="R11" s="2"/>
    </row>
    <row r="12" customFormat="false" ht="15" hidden="false" customHeight="false" outlineLevel="0" collapsed="false">
      <c r="A12" s="4" t="s">
        <v>139</v>
      </c>
      <c r="B12" s="2"/>
      <c r="C12" s="2"/>
      <c r="D12" s="2"/>
      <c r="E12" s="2"/>
      <c r="F12" s="2"/>
      <c r="G12" s="2"/>
      <c r="H12" s="2"/>
      <c r="I12" s="2"/>
      <c r="J12" s="2"/>
      <c r="K12" s="2"/>
      <c r="L12" s="2"/>
      <c r="M12" s="2"/>
      <c r="N12" s="2"/>
      <c r="O12" s="2"/>
      <c r="P12" s="2"/>
      <c r="Q12" s="2"/>
      <c r="R12" s="2"/>
    </row>
    <row r="13" customFormat="false" ht="36" hidden="false" customHeight="true" outlineLevel="0" collapsed="false">
      <c r="A13" s="9" t="s">
        <v>53</v>
      </c>
      <c r="B13" s="9" t="s">
        <v>140</v>
      </c>
      <c r="C13" s="9" t="s">
        <v>141</v>
      </c>
      <c r="D13" s="9" t="s">
        <v>142</v>
      </c>
      <c r="E13" s="9" t="s">
        <v>143</v>
      </c>
      <c r="F13" s="9" t="s">
        <v>144</v>
      </c>
      <c r="G13" s="9" t="s">
        <v>145</v>
      </c>
      <c r="H13" s="9" t="s">
        <v>146</v>
      </c>
      <c r="I13" s="2"/>
      <c r="J13" s="2"/>
      <c r="K13" s="2"/>
      <c r="L13" s="2"/>
      <c r="M13" s="2"/>
      <c r="N13" s="2"/>
      <c r="O13" s="2"/>
      <c r="P13" s="2"/>
      <c r="Q13" s="2"/>
      <c r="R13" s="2"/>
    </row>
    <row r="14" customFormat="false" ht="15" hidden="false" customHeight="false" outlineLevel="0" collapsed="false">
      <c r="A14" s="12" t="s">
        <v>67</v>
      </c>
      <c r="B14" s="23" t="n">
        <f aca="false">H5</f>
        <v>0</v>
      </c>
      <c r="C14" s="31" t="n">
        <f aca="false">الإعدادات!B15</f>
        <v>0.01</v>
      </c>
      <c r="D14" s="20" t="n">
        <f aca="false">J5</f>
        <v>0</v>
      </c>
      <c r="E14" s="32" t="n">
        <f aca="false">الإعدادات!C15</f>
        <v>30</v>
      </c>
      <c r="F14" s="23" t="n">
        <f aca="false">K5</f>
        <v>0</v>
      </c>
      <c r="G14" s="31" t="n">
        <f aca="false">الإعدادات!D15</f>
        <v>0.015</v>
      </c>
      <c r="H14" s="12" t="str">
        <f aca="false">IF(B5=0,"لا بيانات",IF(B14&lt;C14,"ضعف الإبداع/الاستهداف (CTR منخفض) ","")&amp;IF(D14&gt;E14,"تكلفة ظهور مرتفعة (CPM) ","")&amp;IF(F14&lt;G14,"مشكلة بعد النقرة: صفحة المنتج/السعر/الثقة","")&amp;IF(AND(B14&gt;=C14,D14&lt;=E14,F14&gt;=G14),"ضمن المعايير ✓",""))</f>
        <v>لا بيانات</v>
      </c>
      <c r="I14" s="2"/>
      <c r="J14" s="2"/>
      <c r="K14" s="2"/>
      <c r="L14" s="2"/>
      <c r="M14" s="2"/>
      <c r="N14" s="2"/>
      <c r="O14" s="2"/>
      <c r="P14" s="2"/>
      <c r="Q14" s="2"/>
      <c r="R14" s="2"/>
    </row>
    <row r="15" customFormat="false" ht="15" hidden="false" customHeight="false" outlineLevel="0" collapsed="false">
      <c r="A15" s="12" t="s">
        <v>97</v>
      </c>
      <c r="B15" s="23" t="n">
        <f aca="false">H6</f>
        <v>0</v>
      </c>
      <c r="C15" s="31" t="n">
        <f aca="false">الإعدادات!B16</f>
        <v>0.008</v>
      </c>
      <c r="D15" s="20" t="n">
        <f aca="false">J6</f>
        <v>0</v>
      </c>
      <c r="E15" s="32" t="n">
        <f aca="false">الإعدادات!C16</f>
        <v>25</v>
      </c>
      <c r="F15" s="23" t="n">
        <f aca="false">K6</f>
        <v>0</v>
      </c>
      <c r="G15" s="31" t="n">
        <f aca="false">الإعدادات!D16</f>
        <v>0.01</v>
      </c>
      <c r="H15" s="12" t="str">
        <f aca="false">IF(B6=0,"لا بيانات",IF(B15&lt;C15,"ضعف الإبداع/الاستهداف (CTR منخفض) ","")&amp;IF(D15&gt;E15,"تكلفة ظهور مرتفعة (CPM) ","")&amp;IF(F15&lt;G15,"مشكلة بعد النقرة: صفحة المنتج/السعر/الثقة","")&amp;IF(AND(B15&gt;=C15,D15&lt;=E15,F15&gt;=G15),"ضمن المعايير ✓",""))</f>
        <v>لا بيانات</v>
      </c>
      <c r="I15" s="2"/>
      <c r="J15" s="2"/>
      <c r="K15" s="2"/>
      <c r="L15" s="2"/>
      <c r="M15" s="2"/>
      <c r="N15" s="2"/>
      <c r="O15" s="2"/>
      <c r="P15" s="2"/>
      <c r="Q15" s="2"/>
      <c r="R15" s="2"/>
    </row>
    <row r="16" customFormat="false" ht="15" hidden="false" customHeight="false" outlineLevel="0" collapsed="false">
      <c r="A16" s="12" t="s">
        <v>99</v>
      </c>
      <c r="B16" s="23" t="n">
        <f aca="false">H7</f>
        <v>0</v>
      </c>
      <c r="C16" s="31" t="n">
        <f aca="false">الإعدادات!B17</f>
        <v>0.006</v>
      </c>
      <c r="D16" s="20" t="n">
        <f aca="false">J7</f>
        <v>0</v>
      </c>
      <c r="E16" s="32" t="n">
        <f aca="false">الإعدادات!C17</f>
        <v>15</v>
      </c>
      <c r="F16" s="23" t="n">
        <f aca="false">K7</f>
        <v>0</v>
      </c>
      <c r="G16" s="31" t="n">
        <f aca="false">الإعدادات!D17</f>
        <v>0.008</v>
      </c>
      <c r="H16" s="12" t="str">
        <f aca="false">IF(B7=0,"لا بيانات",IF(B16&lt;C16,"ضعف الإبداع/الاستهداف (CTR منخفض) ","")&amp;IF(D16&gt;E16,"تكلفة ظهور مرتفعة (CPM) ","")&amp;IF(F16&lt;G16,"مشكلة بعد النقرة: صفحة المنتج/السعر/الثقة","")&amp;IF(AND(B16&gt;=C16,D16&lt;=E16,F16&gt;=G16),"ضمن المعايير ✓",""))</f>
        <v>لا بيانات</v>
      </c>
      <c r="I16" s="2"/>
      <c r="J16" s="2"/>
      <c r="K16" s="2"/>
      <c r="L16" s="2"/>
      <c r="M16" s="2"/>
      <c r="N16" s="2"/>
      <c r="O16" s="2"/>
      <c r="P16" s="2"/>
      <c r="Q16" s="2"/>
      <c r="R16" s="2"/>
    </row>
    <row r="17" customFormat="false" ht="15" hidden="false" customHeight="false" outlineLevel="0" collapsed="false">
      <c r="A17" s="12" t="s">
        <v>48</v>
      </c>
      <c r="B17" s="23" t="n">
        <f aca="false">H8</f>
        <v>0</v>
      </c>
      <c r="C17" s="31" t="n">
        <f aca="false">الإعدادات!B18</f>
        <v>0.04</v>
      </c>
      <c r="D17" s="20" t="n">
        <f aca="false">J8</f>
        <v>0</v>
      </c>
      <c r="E17" s="32" t="n">
        <f aca="false">الإعدادات!C18</f>
        <v>60</v>
      </c>
      <c r="F17" s="23" t="n">
        <f aca="false">K8</f>
        <v>0</v>
      </c>
      <c r="G17" s="31" t="n">
        <f aca="false">الإعدادات!D18</f>
        <v>0.03</v>
      </c>
      <c r="H17" s="12" t="str">
        <f aca="false">IF(B8=0,"لا بيانات",IF(B17&lt;C17,"ضعف الإبداع/الاستهداف (CTR منخفض) ","")&amp;IF(D17&gt;E17,"تكلفة ظهور مرتفعة (CPM) ","")&amp;IF(F17&lt;G17,"مشكلة بعد النقرة: صفحة المنتج/السعر/الثقة","")&amp;IF(AND(B17&gt;=C17,D17&lt;=E17,F17&gt;=G17),"ضمن المعايير ✓",""))</f>
        <v>لا بيانات</v>
      </c>
      <c r="I17" s="2"/>
      <c r="J17" s="2"/>
      <c r="K17" s="2"/>
      <c r="L17" s="2"/>
      <c r="M17" s="2"/>
      <c r="N17" s="2"/>
      <c r="O17" s="2"/>
      <c r="P17" s="2"/>
      <c r="Q17" s="2"/>
      <c r="R17" s="2"/>
    </row>
    <row r="18" customFormat="false" ht="15" hidden="false" customHeight="false" outlineLevel="0" collapsed="false">
      <c r="A18" s="2"/>
      <c r="B18" s="2"/>
      <c r="C18" s="2"/>
      <c r="D18" s="2"/>
      <c r="E18" s="2"/>
      <c r="F18" s="2"/>
      <c r="G18" s="2"/>
      <c r="H18" s="2"/>
      <c r="I18" s="2"/>
      <c r="J18" s="2"/>
      <c r="K18" s="2"/>
      <c r="L18" s="2"/>
      <c r="M18" s="2"/>
      <c r="N18" s="2"/>
      <c r="O18" s="2"/>
      <c r="P18" s="2"/>
      <c r="Q18" s="2"/>
      <c r="R18" s="2"/>
    </row>
    <row r="19" customFormat="false" ht="15" hidden="false" customHeight="false" outlineLevel="0" collapsed="false">
      <c r="A19" s="2"/>
      <c r="B19" s="2"/>
      <c r="C19" s="2"/>
      <c r="D19" s="2"/>
      <c r="E19" s="2"/>
      <c r="F19" s="2"/>
      <c r="G19" s="2"/>
      <c r="H19" s="2"/>
      <c r="I19" s="2"/>
      <c r="J19" s="2"/>
      <c r="K19" s="2"/>
      <c r="L19" s="2"/>
      <c r="M19" s="2"/>
      <c r="N19" s="2"/>
      <c r="O19" s="2"/>
      <c r="P19" s="2"/>
      <c r="Q19" s="2"/>
      <c r="R19" s="2"/>
    </row>
    <row r="20" customFormat="false" ht="15" hidden="false" customHeight="false" outlineLevel="0" collapsed="false">
      <c r="A20" s="4" t="s">
        <v>147</v>
      </c>
      <c r="B20" s="2"/>
      <c r="C20" s="2"/>
      <c r="D20" s="2"/>
      <c r="E20" s="2"/>
      <c r="F20" s="2"/>
      <c r="G20" s="2"/>
      <c r="H20" s="2"/>
      <c r="I20" s="2"/>
      <c r="J20" s="2"/>
      <c r="K20" s="2"/>
      <c r="L20" s="2"/>
      <c r="M20" s="2"/>
      <c r="N20" s="2"/>
      <c r="O20" s="2"/>
      <c r="P20" s="2"/>
      <c r="Q20" s="2"/>
      <c r="R20" s="2"/>
    </row>
    <row r="21" customFormat="false" ht="15" hidden="false" customHeight="false" outlineLevel="0" collapsed="false">
      <c r="A21" s="13" t="s">
        <v>148</v>
      </c>
      <c r="B21" s="33" t="n">
        <f aca="false">شوبيفاي!F11</f>
        <v>0</v>
      </c>
      <c r="C21" s="15" t="s">
        <v>149</v>
      </c>
      <c r="D21" s="2"/>
      <c r="E21" s="2"/>
      <c r="F21" s="2"/>
      <c r="G21" s="2"/>
      <c r="H21" s="2"/>
      <c r="I21" s="2"/>
      <c r="J21" s="2"/>
      <c r="K21" s="2"/>
      <c r="L21" s="2"/>
      <c r="M21" s="2"/>
      <c r="N21" s="2"/>
      <c r="O21" s="2"/>
      <c r="P21" s="2"/>
      <c r="Q21" s="2"/>
      <c r="R21" s="2"/>
    </row>
    <row r="22" customFormat="false" ht="15" hidden="false" customHeight="false" outlineLevel="0" collapsed="false">
      <c r="A22" s="13" t="s">
        <v>150</v>
      </c>
      <c r="B22" s="34" t="n">
        <f aca="false">B9</f>
        <v>0</v>
      </c>
      <c r="C22" s="15" t="s">
        <v>151</v>
      </c>
      <c r="D22" s="2"/>
      <c r="E22" s="2"/>
      <c r="F22" s="2"/>
      <c r="G22" s="2"/>
      <c r="H22" s="2"/>
      <c r="I22" s="2"/>
      <c r="J22" s="2"/>
      <c r="K22" s="2"/>
      <c r="L22" s="2"/>
      <c r="M22" s="2"/>
      <c r="N22" s="2"/>
      <c r="O22" s="2"/>
      <c r="P22" s="2"/>
      <c r="Q22" s="2"/>
      <c r="R22" s="2"/>
    </row>
    <row r="23" customFormat="false" ht="15" hidden="false" customHeight="false" outlineLevel="0" collapsed="false">
      <c r="A23" s="13" t="s">
        <v>152</v>
      </c>
      <c r="B23" s="35" t="n">
        <f aca="false">IF(B22&gt;0,B21/B22,0)</f>
        <v>0</v>
      </c>
      <c r="C23" s="15" t="s">
        <v>153</v>
      </c>
      <c r="D23" s="2"/>
      <c r="E23" s="2"/>
      <c r="F23" s="2"/>
      <c r="G23" s="2"/>
      <c r="H23" s="2"/>
      <c r="I23" s="2"/>
      <c r="J23" s="2"/>
      <c r="K23" s="2"/>
      <c r="L23" s="2"/>
      <c r="M23" s="2"/>
      <c r="N23" s="2"/>
      <c r="O23" s="2"/>
      <c r="P23" s="2"/>
      <c r="Q23" s="2"/>
      <c r="R23" s="2"/>
    </row>
    <row r="24" customFormat="false" ht="15" hidden="false" customHeight="false" outlineLevel="0" collapsed="false">
      <c r="A24" s="13" t="s">
        <v>154</v>
      </c>
      <c r="B24" s="34" t="n">
        <f aca="false">G9</f>
        <v>0</v>
      </c>
      <c r="C24" s="15" t="s">
        <v>155</v>
      </c>
      <c r="D24" s="2"/>
      <c r="E24" s="2"/>
      <c r="F24" s="2"/>
      <c r="G24" s="2"/>
      <c r="H24" s="2"/>
      <c r="I24" s="2"/>
      <c r="J24" s="2"/>
      <c r="K24" s="2"/>
      <c r="L24" s="2"/>
      <c r="M24" s="2"/>
      <c r="N24" s="2"/>
      <c r="O24" s="2"/>
      <c r="P24" s="2"/>
      <c r="Q24" s="2"/>
      <c r="R24" s="2"/>
    </row>
    <row r="25" customFormat="false" ht="15" hidden="false" customHeight="false" outlineLevel="0" collapsed="false">
      <c r="A25" s="13" t="s">
        <v>156</v>
      </c>
      <c r="B25" s="35" t="n">
        <f aca="false">IF(B21&gt;0,B24/B21,0)</f>
        <v>0</v>
      </c>
      <c r="C25" s="15" t="s">
        <v>157</v>
      </c>
      <c r="D25" s="2"/>
      <c r="E25" s="2"/>
      <c r="F25" s="2"/>
      <c r="G25" s="2"/>
      <c r="H25" s="2"/>
      <c r="I25" s="2"/>
      <c r="J25" s="2"/>
      <c r="K25" s="2"/>
      <c r="L25" s="2"/>
      <c r="M25" s="2"/>
      <c r="N25" s="2"/>
      <c r="O25" s="2"/>
      <c r="P25" s="2"/>
      <c r="Q25" s="2"/>
      <c r="R25" s="2"/>
    </row>
    <row r="26" customFormat="false" ht="15" hidden="false" customHeight="false" outlineLevel="0" collapsed="false">
      <c r="A26" s="13" t="s">
        <v>158</v>
      </c>
      <c r="B26" s="33" t="n">
        <f aca="false">IF(شوبيفاي!B11&gt;0,B22/شوبيفاي!B11,0)</f>
        <v>0</v>
      </c>
      <c r="C26" s="15" t="s">
        <v>159</v>
      </c>
      <c r="D26" s="2"/>
      <c r="E26" s="2"/>
      <c r="F26" s="2"/>
      <c r="G26" s="2"/>
      <c r="H26" s="2"/>
      <c r="I26" s="2"/>
      <c r="J26" s="2"/>
      <c r="K26" s="2"/>
      <c r="L26" s="2"/>
      <c r="M26" s="2"/>
      <c r="N26" s="2"/>
      <c r="O26" s="2"/>
      <c r="P26" s="2"/>
      <c r="Q26" s="2"/>
      <c r="R26" s="2"/>
    </row>
    <row r="27" customFormat="false" ht="15" hidden="false" customHeight="false" outlineLevel="0" collapsed="false">
      <c r="A27" s="13" t="s">
        <v>160</v>
      </c>
      <c r="B27" s="36" t="n">
        <f aca="false">IF(B21&gt;0,B22/B21,0)</f>
        <v>0</v>
      </c>
      <c r="C27" s="15" t="s">
        <v>161</v>
      </c>
      <c r="D27" s="2"/>
      <c r="E27" s="2"/>
      <c r="F27" s="2"/>
      <c r="G27" s="2"/>
      <c r="H27" s="2"/>
      <c r="I27" s="2"/>
      <c r="J27" s="2"/>
      <c r="K27" s="2"/>
      <c r="L27" s="2"/>
      <c r="M27" s="2"/>
      <c r="N27" s="2"/>
      <c r="O27" s="2"/>
      <c r="P27" s="2"/>
      <c r="Q27" s="2"/>
      <c r="R27" s="2"/>
    </row>
    <row r="28" customFormat="false" ht="15" hidden="false" customHeight="false" outlineLevel="0" collapsed="false">
      <c r="A28" s="13" t="s">
        <v>162</v>
      </c>
      <c r="B28" s="34" t="n">
        <f aca="false">B21*الإعدادات!B5-B22</f>
        <v>0</v>
      </c>
      <c r="C28" s="15" t="s">
        <v>163</v>
      </c>
      <c r="D28" s="2"/>
      <c r="E28" s="2"/>
      <c r="F28" s="2"/>
      <c r="G28" s="2"/>
      <c r="H28" s="2"/>
      <c r="I28" s="2"/>
      <c r="J28" s="2"/>
      <c r="K28" s="2"/>
      <c r="L28" s="2"/>
      <c r="M28" s="2"/>
      <c r="N28" s="2"/>
      <c r="O28" s="2"/>
      <c r="P28" s="2"/>
      <c r="Q28" s="2"/>
      <c r="R28" s="2"/>
    </row>
    <row r="29" customFormat="false" ht="15" hidden="false" customHeight="false" outlineLevel="0" collapsed="false">
      <c r="A29" s="13" t="s">
        <v>164</v>
      </c>
      <c r="B29" s="24" t="str">
        <f aca="false">IF(B22=0,"لا بيانات",IF(B23&gt;=الإعدادات!B6,"نمو مربح — وسّع بثقة",IF(B23&gt;=الإعدادات!B7,"مربح بهامش ضيق — حسّن قبل التوسع","خاسر — أوقف الخاسر وأعد الهيكلة")))</f>
        <v>لا بيانات</v>
      </c>
      <c r="C29" s="15"/>
      <c r="D29" s="2"/>
      <c r="E29" s="2"/>
      <c r="F29" s="2"/>
      <c r="G29" s="2"/>
      <c r="H29" s="2"/>
      <c r="I29" s="2"/>
      <c r="J29" s="2"/>
      <c r="K29" s="2"/>
      <c r="L29" s="2"/>
      <c r="M29" s="2"/>
      <c r="N29" s="2"/>
      <c r="O29" s="2"/>
      <c r="P29" s="2"/>
      <c r="Q29" s="2"/>
      <c r="R29" s="2"/>
    </row>
  </sheetData>
  <conditionalFormatting sqref="R5:R9">
    <cfRule type="expression" priority="2" aboveAverage="0" equalAverage="0" bottom="0" percent="0" rank="0" text="" dxfId="6">
      <formula>ISNUMBER(SEARCH("ممتاز",R5))</formula>
    </cfRule>
    <cfRule type="expression" priority="3" aboveAverage="0" equalAverage="0" bottom="0" percent="0" rank="0" text="" dxfId="7">
      <formula>ISNUMBER(SEARCH("خاسر",R5))</formula>
    </cfRule>
    <cfRule type="expression" priority="4" aboveAverage="0" equalAverage="0" bottom="0" percent="0" rank="0" text="" dxfId="8">
      <formula>ISNUMBER(SEARCH("رابح —",R5))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4"/>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5" min="2" style="0" width="13"/>
    <col collapsed="false" customWidth="true" hidden="false" outlineLevel="0" max="6" min="6" style="0" width="14"/>
    <col collapsed="false" customWidth="true" hidden="false" outlineLevel="0" max="7" min="7" style="0" width="15"/>
    <col collapsed="false" customWidth="true" hidden="false" outlineLevel="0" max="8" min="8" style="0" width="11"/>
    <col collapsed="false" customWidth="true" hidden="false" outlineLevel="0" max="9" min="9" style="0" width="16"/>
    <col collapsed="false" customWidth="true" hidden="false" outlineLevel="0" max="10" min="10" style="0" width="12"/>
    <col collapsed="false" customWidth="true" hidden="false" outlineLevel="0" max="11" min="11" style="0" width="9"/>
    <col collapsed="false" customWidth="true" hidden="false" outlineLevel="0" max="12" min="12" style="0" width="12"/>
    <col collapsed="false" customWidth="true" hidden="false" outlineLevel="0" max="14" min="13" style="0" width="11"/>
  </cols>
  <sheetData>
    <row r="1" customFormat="false" ht="19.7" hidden="false" customHeight="false" outlineLevel="0" collapsed="false">
      <c r="A1" s="1" t="s">
        <v>165</v>
      </c>
      <c r="B1" s="2"/>
      <c r="C1" s="2"/>
      <c r="D1" s="2"/>
      <c r="E1" s="2"/>
      <c r="F1" s="2"/>
      <c r="G1" s="2"/>
      <c r="H1" s="2"/>
      <c r="I1" s="2"/>
      <c r="J1" s="2"/>
      <c r="K1" s="2"/>
      <c r="L1" s="2"/>
      <c r="M1" s="2"/>
      <c r="N1" s="2"/>
    </row>
    <row r="2" customFormat="false" ht="15" hidden="false" customHeight="false" outlineLevel="0" collapsed="false">
      <c r="A2" s="3" t="s">
        <v>166</v>
      </c>
      <c r="B2" s="2"/>
      <c r="C2" s="2"/>
      <c r="D2" s="2"/>
      <c r="E2" s="2"/>
      <c r="F2" s="2"/>
      <c r="G2" s="2"/>
      <c r="H2" s="2"/>
      <c r="I2" s="2"/>
      <c r="J2" s="2"/>
      <c r="K2" s="2"/>
      <c r="L2" s="2"/>
      <c r="M2" s="2"/>
      <c r="N2" s="2"/>
    </row>
    <row r="3" customFormat="false" ht="15" hidden="false" customHeight="false" outlineLevel="0" collapsed="false">
      <c r="A3" s="2"/>
      <c r="B3" s="2"/>
      <c r="C3" s="2"/>
      <c r="D3" s="2"/>
      <c r="E3" s="2"/>
      <c r="F3" s="2"/>
      <c r="G3" s="2"/>
      <c r="H3" s="2"/>
      <c r="I3" s="2"/>
      <c r="J3" s="2"/>
      <c r="K3" s="2"/>
      <c r="L3" s="2"/>
      <c r="M3" s="2"/>
      <c r="N3" s="2"/>
    </row>
    <row r="4" customFormat="false" ht="36" hidden="false" customHeight="true" outlineLevel="0" collapsed="false">
      <c r="A4" s="9" t="s">
        <v>58</v>
      </c>
      <c r="B4" s="9" t="s">
        <v>167</v>
      </c>
      <c r="C4" s="9" t="s">
        <v>168</v>
      </c>
      <c r="D4" s="9" t="s">
        <v>169</v>
      </c>
      <c r="E4" s="9" t="s">
        <v>170</v>
      </c>
      <c r="F4" s="9" t="s">
        <v>171</v>
      </c>
      <c r="G4" s="9" t="s">
        <v>172</v>
      </c>
      <c r="H4" s="9" t="s">
        <v>173</v>
      </c>
      <c r="I4" s="9" t="s">
        <v>148</v>
      </c>
      <c r="J4" s="9" t="s">
        <v>174</v>
      </c>
      <c r="K4" s="9" t="s">
        <v>175</v>
      </c>
      <c r="L4" s="9" t="s">
        <v>176</v>
      </c>
      <c r="M4" s="9" t="s">
        <v>177</v>
      </c>
      <c r="N4" s="9" t="s">
        <v>178</v>
      </c>
    </row>
    <row r="5" customFormat="false" ht="15" hidden="false" customHeight="false" outlineLevel="0" collapsed="false">
      <c r="A5" s="24" t="s">
        <v>127</v>
      </c>
      <c r="B5" s="32" t="n">
        <f aca="false">SUMIFS(بيانات_الحملات!$H$4:$H$303,بيانات_الحملات!$A$4:$A$303,"Meta",بيانات_الحملات!$G$4:$G$303,$A5)</f>
        <v>0</v>
      </c>
      <c r="C5" s="32" t="n">
        <f aca="false">SUMIFS(بيانات_الحملات!$H$4:$H$303,بيانات_الحملات!$A$4:$A$303,"TikTok",بيانات_الحملات!$G$4:$G$303,$A5)</f>
        <v>0</v>
      </c>
      <c r="D5" s="32" t="n">
        <f aca="false">SUMIFS(بيانات_الحملات!$H$4:$H$303,بيانات_الحملات!$A$4:$A$303,"Snapchat",بيانات_الحملات!$G$4:$G$303,$A5)</f>
        <v>0</v>
      </c>
      <c r="E5" s="32" t="n">
        <f aca="false">SUMIFS(بيانات_الحملات!$H$4:$H$303,بيانات_الحملات!$A$4:$A$303,"Google Ads",بيانات_الحملات!$G$4:$G$303,$A5)</f>
        <v>0</v>
      </c>
      <c r="F5" s="20" t="n">
        <f aca="false">SUM(B5:E5)</f>
        <v>0</v>
      </c>
      <c r="G5" s="32" t="n">
        <f aca="false">SUMIFS(بيانات_الحملات!$O$4:$O$303,بيانات_الحملات!$G$4:$G$303,$A5)</f>
        <v>0</v>
      </c>
      <c r="H5" s="18" t="n">
        <f aca="false">IF(F5&gt;0,G5/F5,0)</f>
        <v>0</v>
      </c>
      <c r="I5" s="32" t="n">
        <f aca="false">شوبيفاي!F4</f>
        <v>0</v>
      </c>
      <c r="J5" s="37" t="n">
        <f aca="false">شوبيفاي!B4</f>
        <v>0</v>
      </c>
      <c r="K5" s="18" t="n">
        <f aca="false">IF(F5&gt;0,I5/F5,0)</f>
        <v>0</v>
      </c>
      <c r="L5" s="20" t="n">
        <f aca="false">IF(J5&gt;0,F5/J5,0)</f>
        <v>0</v>
      </c>
      <c r="M5" s="23" t="n">
        <f aca="false">0</f>
        <v>0</v>
      </c>
      <c r="N5" s="23" t="n">
        <f aca="false">0</f>
        <v>0</v>
      </c>
    </row>
    <row r="6" customFormat="false" ht="15" hidden="false" customHeight="false" outlineLevel="0" collapsed="false">
      <c r="A6" s="24" t="s">
        <v>73</v>
      </c>
      <c r="B6" s="32" t="n">
        <f aca="false">SUMIFS(بيانات_الحملات!$H$4:$H$303,بيانات_الحملات!$A$4:$A$303,"Meta",بيانات_الحملات!$G$4:$G$303,$A6)</f>
        <v>0</v>
      </c>
      <c r="C6" s="32" t="n">
        <f aca="false">SUMIFS(بيانات_الحملات!$H$4:$H$303,بيانات_الحملات!$A$4:$A$303,"TikTok",بيانات_الحملات!$G$4:$G$303,$A6)</f>
        <v>0</v>
      </c>
      <c r="D6" s="32" t="n">
        <f aca="false">SUMIFS(بيانات_الحملات!$H$4:$H$303,بيانات_الحملات!$A$4:$A$303,"Snapchat",بيانات_الحملات!$G$4:$G$303,$A6)</f>
        <v>0</v>
      </c>
      <c r="E6" s="32" t="n">
        <f aca="false">SUMIFS(بيانات_الحملات!$H$4:$H$303,بيانات_الحملات!$A$4:$A$303,"Google Ads",بيانات_الحملات!$G$4:$G$303,$A6)</f>
        <v>0</v>
      </c>
      <c r="F6" s="20" t="n">
        <f aca="false">SUM(B6:E6)</f>
        <v>0</v>
      </c>
      <c r="G6" s="32" t="n">
        <f aca="false">SUMIFS(بيانات_الحملات!$O$4:$O$303,بيانات_الحملات!$G$4:$G$303,$A6)</f>
        <v>0</v>
      </c>
      <c r="H6" s="18" t="n">
        <f aca="false">IF(F6&gt;0,G6/F6,0)</f>
        <v>0</v>
      </c>
      <c r="I6" s="32" t="n">
        <f aca="false">شوبيفاي!F5</f>
        <v>0</v>
      </c>
      <c r="J6" s="37" t="n">
        <f aca="false">شوبيفاي!B5</f>
        <v>0</v>
      </c>
      <c r="K6" s="18" t="n">
        <f aca="false">IF(F6&gt;0,I6/F6,0)</f>
        <v>0</v>
      </c>
      <c r="L6" s="20" t="n">
        <f aca="false">IF(J6&gt;0,F6/J6,0)</f>
        <v>0</v>
      </c>
      <c r="M6" s="23" t="n">
        <f aca="false">IF(F5&gt;0,F6/F5-1,0)</f>
        <v>0</v>
      </c>
      <c r="N6" s="23" t="n">
        <f aca="false">IF(I5&gt;0,I6/I5-1,0)</f>
        <v>0</v>
      </c>
    </row>
    <row r="7" customFormat="false" ht="15" hidden="false" customHeight="false" outlineLevel="0" collapsed="false">
      <c r="A7" s="24" t="s">
        <v>128</v>
      </c>
      <c r="B7" s="32" t="n">
        <f aca="false">SUMIFS(بيانات_الحملات!$H$4:$H$303,بيانات_الحملات!$A$4:$A$303,"Meta",بيانات_الحملات!$G$4:$G$303,$A7)</f>
        <v>0</v>
      </c>
      <c r="C7" s="32" t="n">
        <f aca="false">SUMIFS(بيانات_الحملات!$H$4:$H$303,بيانات_الحملات!$A$4:$A$303,"TikTok",بيانات_الحملات!$G$4:$G$303,$A7)</f>
        <v>0</v>
      </c>
      <c r="D7" s="32" t="n">
        <f aca="false">SUMIFS(بيانات_الحملات!$H$4:$H$303,بيانات_الحملات!$A$4:$A$303,"Snapchat",بيانات_الحملات!$G$4:$G$303,$A7)</f>
        <v>0</v>
      </c>
      <c r="E7" s="32" t="n">
        <f aca="false">SUMIFS(بيانات_الحملات!$H$4:$H$303,بيانات_الحملات!$A$4:$A$303,"Google Ads",بيانات_الحملات!$G$4:$G$303,$A7)</f>
        <v>0</v>
      </c>
      <c r="F7" s="20" t="n">
        <f aca="false">SUM(B7:E7)</f>
        <v>0</v>
      </c>
      <c r="G7" s="32" t="n">
        <f aca="false">SUMIFS(بيانات_الحملات!$O$4:$O$303,بيانات_الحملات!$G$4:$G$303,$A7)</f>
        <v>0</v>
      </c>
      <c r="H7" s="18" t="n">
        <f aca="false">IF(F7&gt;0,G7/F7,0)</f>
        <v>0</v>
      </c>
      <c r="I7" s="32" t="n">
        <f aca="false">شوبيفاي!F6</f>
        <v>0</v>
      </c>
      <c r="J7" s="37" t="n">
        <f aca="false">شوبيفاي!B6</f>
        <v>0</v>
      </c>
      <c r="K7" s="18" t="n">
        <f aca="false">IF(F7&gt;0,I7/F7,0)</f>
        <v>0</v>
      </c>
      <c r="L7" s="20" t="n">
        <f aca="false">IF(J7&gt;0,F7/J7,0)</f>
        <v>0</v>
      </c>
      <c r="M7" s="23" t="n">
        <f aca="false">IF(F6&gt;0,F7/F6-1,0)</f>
        <v>0</v>
      </c>
      <c r="N7" s="23" t="n">
        <f aca="false">IF(I6&gt;0,I7/I6-1,0)</f>
        <v>0</v>
      </c>
    </row>
    <row r="8" customFormat="false" ht="15" hidden="false" customHeight="false" outlineLevel="0" collapsed="false">
      <c r="A8" s="24" t="s">
        <v>129</v>
      </c>
      <c r="B8" s="32" t="n">
        <f aca="false">SUMIFS(بيانات_الحملات!$H$4:$H$303,بيانات_الحملات!$A$4:$A$303,"Meta",بيانات_الحملات!$G$4:$G$303,$A8)</f>
        <v>0</v>
      </c>
      <c r="C8" s="32" t="n">
        <f aca="false">SUMIFS(بيانات_الحملات!$H$4:$H$303,بيانات_الحملات!$A$4:$A$303,"TikTok",بيانات_الحملات!$G$4:$G$303,$A8)</f>
        <v>0</v>
      </c>
      <c r="D8" s="32" t="n">
        <f aca="false">SUMIFS(بيانات_الحملات!$H$4:$H$303,بيانات_الحملات!$A$4:$A$303,"Snapchat",بيانات_الحملات!$G$4:$G$303,$A8)</f>
        <v>0</v>
      </c>
      <c r="E8" s="32" t="n">
        <f aca="false">SUMIFS(بيانات_الحملات!$H$4:$H$303,بيانات_الحملات!$A$4:$A$303,"Google Ads",بيانات_الحملات!$G$4:$G$303,$A8)</f>
        <v>0</v>
      </c>
      <c r="F8" s="20" t="n">
        <f aca="false">SUM(B8:E8)</f>
        <v>0</v>
      </c>
      <c r="G8" s="32" t="n">
        <f aca="false">SUMIFS(بيانات_الحملات!$O$4:$O$303,بيانات_الحملات!$G$4:$G$303,$A8)</f>
        <v>0</v>
      </c>
      <c r="H8" s="18" t="n">
        <f aca="false">IF(F8&gt;0,G8/F8,0)</f>
        <v>0</v>
      </c>
      <c r="I8" s="32" t="n">
        <f aca="false">شوبيفاي!F7</f>
        <v>0</v>
      </c>
      <c r="J8" s="37" t="n">
        <f aca="false">شوبيفاي!B7</f>
        <v>0</v>
      </c>
      <c r="K8" s="18" t="n">
        <f aca="false">IF(F8&gt;0,I8/F8,0)</f>
        <v>0</v>
      </c>
      <c r="L8" s="20" t="n">
        <f aca="false">IF(J8&gt;0,F8/J8,0)</f>
        <v>0</v>
      </c>
      <c r="M8" s="23" t="n">
        <f aca="false">IF(F7&gt;0,F8/F7-1,0)</f>
        <v>0</v>
      </c>
      <c r="N8" s="23" t="n">
        <f aca="false">IF(I7&gt;0,I8/I7-1,0)</f>
        <v>0</v>
      </c>
    </row>
    <row r="9" customFormat="false" ht="15" hidden="false" customHeight="false" outlineLevel="0" collapsed="false">
      <c r="A9" s="24" t="s">
        <v>130</v>
      </c>
      <c r="B9" s="32" t="n">
        <f aca="false">SUMIFS(بيانات_الحملات!$H$4:$H$303,بيانات_الحملات!$A$4:$A$303,"Meta",بيانات_الحملات!$G$4:$G$303,$A9)</f>
        <v>0</v>
      </c>
      <c r="C9" s="32" t="n">
        <f aca="false">SUMIFS(بيانات_الحملات!$H$4:$H$303,بيانات_الحملات!$A$4:$A$303,"TikTok",بيانات_الحملات!$G$4:$G$303,$A9)</f>
        <v>0</v>
      </c>
      <c r="D9" s="32" t="n">
        <f aca="false">SUMIFS(بيانات_الحملات!$H$4:$H$303,بيانات_الحملات!$A$4:$A$303,"Snapchat",بيانات_الحملات!$G$4:$G$303,$A9)</f>
        <v>0</v>
      </c>
      <c r="E9" s="32" t="n">
        <f aca="false">SUMIFS(بيانات_الحملات!$H$4:$H$303,بيانات_الحملات!$A$4:$A$303,"Google Ads",بيانات_الحملات!$G$4:$G$303,$A9)</f>
        <v>0</v>
      </c>
      <c r="F9" s="20" t="n">
        <f aca="false">SUM(B9:E9)</f>
        <v>0</v>
      </c>
      <c r="G9" s="32" t="n">
        <f aca="false">SUMIFS(بيانات_الحملات!$O$4:$O$303,بيانات_الحملات!$G$4:$G$303,$A9)</f>
        <v>0</v>
      </c>
      <c r="H9" s="18" t="n">
        <f aca="false">IF(F9&gt;0,G9/F9,0)</f>
        <v>0</v>
      </c>
      <c r="I9" s="32" t="n">
        <f aca="false">شوبيفاي!F8</f>
        <v>0</v>
      </c>
      <c r="J9" s="37" t="n">
        <f aca="false">شوبيفاي!B8</f>
        <v>0</v>
      </c>
      <c r="K9" s="18" t="n">
        <f aca="false">IF(F9&gt;0,I9/F9,0)</f>
        <v>0</v>
      </c>
      <c r="L9" s="20" t="n">
        <f aca="false">IF(J9&gt;0,F9/J9,0)</f>
        <v>0</v>
      </c>
      <c r="M9" s="23" t="n">
        <f aca="false">IF(F8&gt;0,F9/F8-1,0)</f>
        <v>0</v>
      </c>
      <c r="N9" s="23" t="n">
        <f aca="false">IF(I8&gt;0,I9/I8-1,0)</f>
        <v>0</v>
      </c>
    </row>
    <row r="10" customFormat="false" ht="15" hidden="false" customHeight="false" outlineLevel="0" collapsed="false">
      <c r="A10" s="24" t="s">
        <v>131</v>
      </c>
      <c r="B10" s="32" t="n">
        <f aca="false">SUMIFS(بيانات_الحملات!$H$4:$H$303,بيانات_الحملات!$A$4:$A$303,"Meta",بيانات_الحملات!$G$4:$G$303,$A10)</f>
        <v>0</v>
      </c>
      <c r="C10" s="32" t="n">
        <f aca="false">SUMIFS(بيانات_الحملات!$H$4:$H$303,بيانات_الحملات!$A$4:$A$303,"TikTok",بيانات_الحملات!$G$4:$G$303,$A10)</f>
        <v>0</v>
      </c>
      <c r="D10" s="32" t="n">
        <f aca="false">SUMIFS(بيانات_الحملات!$H$4:$H$303,بيانات_الحملات!$A$4:$A$303,"Snapchat",بيانات_الحملات!$G$4:$G$303,$A10)</f>
        <v>0</v>
      </c>
      <c r="E10" s="32" t="n">
        <f aca="false">SUMIFS(بيانات_الحملات!$H$4:$H$303,بيانات_الحملات!$A$4:$A$303,"Google Ads",بيانات_الحملات!$G$4:$G$303,$A10)</f>
        <v>0</v>
      </c>
      <c r="F10" s="20" t="n">
        <f aca="false">SUM(B10:E10)</f>
        <v>0</v>
      </c>
      <c r="G10" s="32" t="n">
        <f aca="false">SUMIFS(بيانات_الحملات!$O$4:$O$303,بيانات_الحملات!$G$4:$G$303,$A10)</f>
        <v>0</v>
      </c>
      <c r="H10" s="18" t="n">
        <f aca="false">IF(F10&gt;0,G10/F10,0)</f>
        <v>0</v>
      </c>
      <c r="I10" s="32" t="n">
        <f aca="false">شوبيفاي!F9</f>
        <v>0</v>
      </c>
      <c r="J10" s="37" t="n">
        <f aca="false">شوبيفاي!B9</f>
        <v>0</v>
      </c>
      <c r="K10" s="18" t="n">
        <f aca="false">IF(F10&gt;0,I10/F10,0)</f>
        <v>0</v>
      </c>
      <c r="L10" s="20" t="n">
        <f aca="false">IF(J10&gt;0,F10/J10,0)</f>
        <v>0</v>
      </c>
      <c r="M10" s="23" t="n">
        <f aca="false">IF(F9&gt;0,F10/F9-1,0)</f>
        <v>0</v>
      </c>
      <c r="N10" s="23" t="n">
        <f aca="false">IF(I9&gt;0,I10/I9-1,0)</f>
        <v>0</v>
      </c>
    </row>
    <row r="11" customFormat="false" ht="15" hidden="false" customHeight="false" outlineLevel="0" collapsed="false">
      <c r="A11" s="24" t="s">
        <v>132</v>
      </c>
      <c r="B11" s="32" t="n">
        <f aca="false">SUMIFS(بيانات_الحملات!$H$4:$H$303,بيانات_الحملات!$A$4:$A$303,"Meta",بيانات_الحملات!$G$4:$G$303,$A11)</f>
        <v>0</v>
      </c>
      <c r="C11" s="32" t="n">
        <f aca="false">SUMIFS(بيانات_الحملات!$H$4:$H$303,بيانات_الحملات!$A$4:$A$303,"TikTok",بيانات_الحملات!$G$4:$G$303,$A11)</f>
        <v>0</v>
      </c>
      <c r="D11" s="32" t="n">
        <f aca="false">SUMIFS(بيانات_الحملات!$H$4:$H$303,بيانات_الحملات!$A$4:$A$303,"Snapchat",بيانات_الحملات!$G$4:$G$303,$A11)</f>
        <v>0</v>
      </c>
      <c r="E11" s="32" t="n">
        <f aca="false">SUMIFS(بيانات_الحملات!$H$4:$H$303,بيانات_الحملات!$A$4:$A$303,"Google Ads",بيانات_الحملات!$G$4:$G$303,$A11)</f>
        <v>0</v>
      </c>
      <c r="F11" s="20" t="n">
        <f aca="false">SUM(B11:E11)</f>
        <v>0</v>
      </c>
      <c r="G11" s="32" t="n">
        <f aca="false">SUMIFS(بيانات_الحملات!$O$4:$O$303,بيانات_الحملات!$G$4:$G$303,$A11)</f>
        <v>0</v>
      </c>
      <c r="H11" s="18" t="n">
        <f aca="false">IF(F11&gt;0,G11/F11,0)</f>
        <v>0</v>
      </c>
      <c r="I11" s="32" t="n">
        <f aca="false">شوبيفاي!F10</f>
        <v>0</v>
      </c>
      <c r="J11" s="37" t="n">
        <f aca="false">شوبيفاي!B10</f>
        <v>0</v>
      </c>
      <c r="K11" s="18" t="n">
        <f aca="false">IF(F11&gt;0,I11/F11,0)</f>
        <v>0</v>
      </c>
      <c r="L11" s="20" t="n">
        <f aca="false">IF(J11&gt;0,F11/J11,0)</f>
        <v>0</v>
      </c>
      <c r="M11" s="23" t="n">
        <f aca="false">IF(F10&gt;0,F11/F10-1,0)</f>
        <v>0</v>
      </c>
      <c r="N11" s="23" t="n">
        <f aca="false">IF(I10&gt;0,I11/I10-1,0)</f>
        <v>0</v>
      </c>
    </row>
    <row r="12" customFormat="false" ht="15" hidden="false" customHeight="false" outlineLevel="0" collapsed="false">
      <c r="A12" s="25" t="s">
        <v>133</v>
      </c>
      <c r="B12" s="27" t="n">
        <f aca="false">SUM(B5:B11)</f>
        <v>0</v>
      </c>
      <c r="C12" s="27" t="n">
        <f aca="false">SUM(C5:C11)</f>
        <v>0</v>
      </c>
      <c r="D12" s="27" t="n">
        <f aca="false">SUM(D5:D11)</f>
        <v>0</v>
      </c>
      <c r="E12" s="27" t="n">
        <f aca="false">SUM(E5:E11)</f>
        <v>0</v>
      </c>
      <c r="F12" s="27" t="n">
        <f aca="false">SUM(F5:F11)</f>
        <v>0</v>
      </c>
      <c r="G12" s="27" t="n">
        <f aca="false">SUM(G5:G11)</f>
        <v>0</v>
      </c>
      <c r="H12" s="30" t="n">
        <f aca="false">IF(F12&gt;0,G12/F12,0)</f>
        <v>0</v>
      </c>
      <c r="I12" s="27" t="n">
        <f aca="false">SUM(I5:I11)</f>
        <v>0</v>
      </c>
      <c r="J12" s="26" t="n">
        <f aca="false">SUM(J5:J11)</f>
        <v>0</v>
      </c>
      <c r="K12" s="30" t="n">
        <f aca="false">IF(F12&gt;0,I12/F12,0)</f>
        <v>0</v>
      </c>
      <c r="L12" s="27" t="n">
        <f aca="false">IF(J12&gt;0,F12/J12,0)</f>
        <v>0</v>
      </c>
      <c r="M12" s="38"/>
      <c r="N12" s="38"/>
    </row>
    <row r="13" customFormat="false" ht="15" hidden="false" customHeight="false" outlineLevel="0" collapsed="false">
      <c r="A13" s="2"/>
      <c r="B13" s="2"/>
      <c r="C13" s="2"/>
      <c r="D13" s="2"/>
      <c r="E13" s="2"/>
      <c r="F13" s="2"/>
      <c r="G13" s="2"/>
      <c r="H13" s="2"/>
      <c r="I13" s="2"/>
      <c r="J13" s="2"/>
      <c r="K13" s="2"/>
      <c r="L13" s="2"/>
      <c r="M13" s="2"/>
      <c r="N13" s="2"/>
    </row>
    <row r="14" customFormat="false" ht="15" hidden="false" customHeight="false" outlineLevel="0" collapsed="false">
      <c r="A14" s="15" t="s">
        <v>179</v>
      </c>
      <c r="B14" s="2"/>
      <c r="C14" s="2"/>
      <c r="D14" s="2"/>
      <c r="E14" s="2"/>
      <c r="F14" s="2"/>
      <c r="G14" s="2"/>
      <c r="H14" s="2"/>
      <c r="I14" s="2"/>
      <c r="J14" s="2"/>
      <c r="K14" s="2"/>
      <c r="L14" s="2"/>
      <c r="M14" s="2"/>
      <c r="N14" s="2"/>
    </row>
  </sheetData>
  <conditionalFormatting sqref="K5:K12">
    <cfRule type="expression" priority="2" aboveAverage="0" equalAverage="0" bottom="0" percent="0" rank="0" text="" dxfId="7">
      <formula>AND(K5&gt;0,K5&lt;الإعدادات!$B$7)</formula>
    </cfRule>
    <cfRule type="expression" priority="3" aboveAverage="0" equalAverage="0" bottom="0" percent="0" rank="0" text="" dxfId="6">
      <formula>K5&gt;=الإعدادات!$B$6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1"/>
    <col collapsed="false" customWidth="true" hidden="false" outlineLevel="0" max="3" min="3" style="0" width="14"/>
    <col collapsed="false" customWidth="true" hidden="false" outlineLevel="0" max="4" min="4" style="0" width="42"/>
    <col collapsed="false" customWidth="true" hidden="false" outlineLevel="0" max="5" min="5" style="0" width="52"/>
    <col collapsed="false" customWidth="true" hidden="false" outlineLevel="0" max="6" min="6" style="0" width="8"/>
    <col collapsed="false" customWidth="true" hidden="false" outlineLevel="0" max="7" min="7" style="0" width="9"/>
    <col collapsed="false" customWidth="true" hidden="false" outlineLevel="0" max="8" min="8" style="0" width="20"/>
    <col collapsed="false" customWidth="true" hidden="false" outlineLevel="0" max="9" min="9" style="0" width="18"/>
    <col collapsed="false" customWidth="true" hidden="false" outlineLevel="0" max="11" min="10" style="0" width="11"/>
  </cols>
  <sheetData>
    <row r="1" customFormat="false" ht="18.65" hidden="false" customHeight="false" outlineLevel="0" collapsed="false">
      <c r="A1" s="1" t="s">
        <v>180</v>
      </c>
      <c r="B1" s="2"/>
      <c r="C1" s="2"/>
      <c r="D1" s="2"/>
      <c r="E1" s="2"/>
      <c r="F1" s="2"/>
      <c r="G1" s="2"/>
      <c r="H1" s="2"/>
      <c r="I1" s="2"/>
      <c r="J1" s="2"/>
      <c r="K1" s="2"/>
    </row>
    <row r="2" customFormat="false" ht="15" hidden="false" customHeight="false" outlineLevel="0" collapsed="false">
      <c r="A2" s="3" t="s">
        <v>181</v>
      </c>
      <c r="B2" s="2"/>
      <c r="C2" s="2"/>
      <c r="D2" s="2"/>
      <c r="E2" s="2"/>
      <c r="F2" s="2"/>
      <c r="G2" s="2"/>
      <c r="H2" s="2"/>
      <c r="I2" s="2"/>
      <c r="J2" s="2"/>
      <c r="K2" s="2"/>
    </row>
    <row r="3" customFormat="false" ht="15" hidden="false" customHeight="false" outlineLevel="0" collapsed="false">
      <c r="A3" s="2"/>
      <c r="B3" s="2"/>
      <c r="C3" s="2"/>
      <c r="D3" s="2"/>
      <c r="E3" s="2"/>
      <c r="F3" s="2"/>
      <c r="G3" s="2"/>
      <c r="H3" s="2"/>
      <c r="I3" s="2"/>
      <c r="J3" s="2"/>
      <c r="K3" s="2"/>
    </row>
    <row r="4" customFormat="false" ht="36" hidden="false" customHeight="true" outlineLevel="0" collapsed="false">
      <c r="A4" s="9" t="s">
        <v>182</v>
      </c>
      <c r="B4" s="9" t="s">
        <v>53</v>
      </c>
      <c r="C4" s="9" t="s">
        <v>183</v>
      </c>
      <c r="D4" s="9" t="s">
        <v>184</v>
      </c>
      <c r="E4" s="9" t="s">
        <v>185</v>
      </c>
      <c r="F4" s="9" t="s">
        <v>186</v>
      </c>
      <c r="G4" s="9" t="s">
        <v>187</v>
      </c>
      <c r="H4" s="9" t="s">
        <v>188</v>
      </c>
      <c r="I4" s="9" t="s">
        <v>189</v>
      </c>
      <c r="J4" s="9" t="s">
        <v>190</v>
      </c>
      <c r="K4" s="9" t="s">
        <v>27</v>
      </c>
    </row>
    <row r="5" customFormat="false" ht="60" hidden="false" customHeight="true" outlineLevel="0" collapsed="false">
      <c r="A5" s="39" t="n">
        <v>1</v>
      </c>
      <c r="B5" s="39" t="s">
        <v>191</v>
      </c>
      <c r="C5" s="39" t="s">
        <v>192</v>
      </c>
      <c r="D5" s="39" t="s">
        <v>193</v>
      </c>
      <c r="E5" s="39" t="s">
        <v>194</v>
      </c>
      <c r="F5" s="39" t="s">
        <v>195</v>
      </c>
      <c r="G5" s="39" t="s">
        <v>196</v>
      </c>
      <c r="H5" s="39" t="s">
        <v>197</v>
      </c>
      <c r="I5" s="39" t="s">
        <v>175</v>
      </c>
      <c r="J5" s="39" t="s">
        <v>198</v>
      </c>
      <c r="K5" s="40" t="s">
        <v>199</v>
      </c>
    </row>
    <row r="6" customFormat="false" ht="60" hidden="false" customHeight="true" outlineLevel="0" collapsed="false">
      <c r="A6" s="39" t="n">
        <v>2</v>
      </c>
      <c r="B6" s="39" t="s">
        <v>191</v>
      </c>
      <c r="C6" s="39" t="s">
        <v>192</v>
      </c>
      <c r="D6" s="39" t="s">
        <v>200</v>
      </c>
      <c r="E6" s="39" t="s">
        <v>201</v>
      </c>
      <c r="F6" s="39" t="s">
        <v>195</v>
      </c>
      <c r="G6" s="39" t="s">
        <v>196</v>
      </c>
      <c r="H6" s="39" t="s">
        <v>202</v>
      </c>
      <c r="I6" s="39" t="s">
        <v>203</v>
      </c>
      <c r="J6" s="39" t="s">
        <v>198</v>
      </c>
      <c r="K6" s="40" t="s">
        <v>199</v>
      </c>
    </row>
    <row r="7" customFormat="false" ht="60" hidden="false" customHeight="true" outlineLevel="0" collapsed="false">
      <c r="A7" s="39" t="n">
        <v>3</v>
      </c>
      <c r="B7" s="39" t="s">
        <v>191</v>
      </c>
      <c r="C7" s="39" t="s">
        <v>192</v>
      </c>
      <c r="D7" s="39" t="s">
        <v>204</v>
      </c>
      <c r="E7" s="39" t="s">
        <v>205</v>
      </c>
      <c r="F7" s="39" t="s">
        <v>195</v>
      </c>
      <c r="G7" s="39" t="s">
        <v>196</v>
      </c>
      <c r="H7" s="39" t="s">
        <v>206</v>
      </c>
      <c r="I7" s="39" t="s">
        <v>207</v>
      </c>
      <c r="J7" s="39" t="s">
        <v>208</v>
      </c>
      <c r="K7" s="40" t="s">
        <v>199</v>
      </c>
    </row>
    <row r="8" customFormat="false" ht="60" hidden="false" customHeight="true" outlineLevel="0" collapsed="false">
      <c r="A8" s="39" t="n">
        <v>4</v>
      </c>
      <c r="B8" s="39" t="s">
        <v>191</v>
      </c>
      <c r="C8" s="39" t="s">
        <v>209</v>
      </c>
      <c r="D8" s="39" t="s">
        <v>210</v>
      </c>
      <c r="E8" s="39" t="s">
        <v>211</v>
      </c>
      <c r="F8" s="39" t="s">
        <v>212</v>
      </c>
      <c r="G8" s="39" t="s">
        <v>196</v>
      </c>
      <c r="H8" s="39" t="s">
        <v>213</v>
      </c>
      <c r="I8" s="39" t="s">
        <v>214</v>
      </c>
      <c r="J8" s="39" t="s">
        <v>215</v>
      </c>
      <c r="K8" s="40" t="s">
        <v>199</v>
      </c>
    </row>
    <row r="9" customFormat="false" ht="60" hidden="false" customHeight="true" outlineLevel="0" collapsed="false">
      <c r="A9" s="39" t="n">
        <v>5</v>
      </c>
      <c r="B9" s="39" t="s">
        <v>191</v>
      </c>
      <c r="C9" s="39" t="s">
        <v>209</v>
      </c>
      <c r="D9" s="39" t="s">
        <v>216</v>
      </c>
      <c r="E9" s="39" t="s">
        <v>217</v>
      </c>
      <c r="F9" s="39" t="s">
        <v>195</v>
      </c>
      <c r="G9" s="39" t="s">
        <v>218</v>
      </c>
      <c r="H9" s="39" t="s">
        <v>219</v>
      </c>
      <c r="I9" s="39" t="s">
        <v>220</v>
      </c>
      <c r="J9" s="39" t="s">
        <v>221</v>
      </c>
      <c r="K9" s="40" t="s">
        <v>199</v>
      </c>
    </row>
    <row r="10" customFormat="false" ht="60" hidden="false" customHeight="true" outlineLevel="0" collapsed="false">
      <c r="A10" s="39" t="n">
        <v>6</v>
      </c>
      <c r="B10" s="39" t="s">
        <v>191</v>
      </c>
      <c r="C10" s="39" t="s">
        <v>222</v>
      </c>
      <c r="D10" s="39" t="s">
        <v>223</v>
      </c>
      <c r="E10" s="39" t="s">
        <v>224</v>
      </c>
      <c r="F10" s="39" t="s">
        <v>195</v>
      </c>
      <c r="G10" s="39" t="s">
        <v>196</v>
      </c>
      <c r="H10" s="39" t="s">
        <v>225</v>
      </c>
      <c r="I10" s="39" t="s">
        <v>226</v>
      </c>
      <c r="J10" s="39" t="s">
        <v>227</v>
      </c>
      <c r="K10" s="40" t="s">
        <v>199</v>
      </c>
    </row>
    <row r="11" customFormat="false" ht="60" hidden="false" customHeight="true" outlineLevel="0" collapsed="false">
      <c r="A11" s="39" t="n">
        <v>7</v>
      </c>
      <c r="B11" s="39" t="s">
        <v>191</v>
      </c>
      <c r="C11" s="39" t="s">
        <v>222</v>
      </c>
      <c r="D11" s="39" t="s">
        <v>228</v>
      </c>
      <c r="E11" s="39" t="s">
        <v>229</v>
      </c>
      <c r="F11" s="39" t="s">
        <v>212</v>
      </c>
      <c r="G11" s="39" t="s">
        <v>218</v>
      </c>
      <c r="H11" s="39" t="s">
        <v>230</v>
      </c>
      <c r="I11" s="39" t="s">
        <v>231</v>
      </c>
      <c r="J11" s="39" t="s">
        <v>232</v>
      </c>
      <c r="K11" s="40" t="s">
        <v>199</v>
      </c>
    </row>
    <row r="12" customFormat="false" ht="60" hidden="false" customHeight="true" outlineLevel="0" collapsed="false">
      <c r="A12" s="39" t="n">
        <v>8</v>
      </c>
      <c r="B12" s="39" t="s">
        <v>191</v>
      </c>
      <c r="C12" s="39" t="s">
        <v>233</v>
      </c>
      <c r="D12" s="39" t="s">
        <v>234</v>
      </c>
      <c r="E12" s="39" t="s">
        <v>235</v>
      </c>
      <c r="F12" s="39" t="s">
        <v>195</v>
      </c>
      <c r="G12" s="39" t="s">
        <v>196</v>
      </c>
      <c r="H12" s="39" t="s">
        <v>236</v>
      </c>
      <c r="I12" s="39" t="s">
        <v>237</v>
      </c>
      <c r="J12" s="39" t="s">
        <v>198</v>
      </c>
      <c r="K12" s="40" t="s">
        <v>199</v>
      </c>
    </row>
    <row r="13" customFormat="false" ht="60" hidden="false" customHeight="true" outlineLevel="0" collapsed="false">
      <c r="A13" s="39" t="n">
        <v>9</v>
      </c>
      <c r="B13" s="39" t="s">
        <v>191</v>
      </c>
      <c r="C13" s="39" t="s">
        <v>233</v>
      </c>
      <c r="D13" s="39" t="s">
        <v>238</v>
      </c>
      <c r="E13" s="39" t="s">
        <v>239</v>
      </c>
      <c r="F13" s="39" t="s">
        <v>195</v>
      </c>
      <c r="G13" s="39" t="s">
        <v>218</v>
      </c>
      <c r="H13" s="39" t="s">
        <v>240</v>
      </c>
      <c r="I13" s="39" t="s">
        <v>241</v>
      </c>
      <c r="J13" s="39" t="s">
        <v>232</v>
      </c>
      <c r="K13" s="40" t="s">
        <v>199</v>
      </c>
    </row>
    <row r="14" customFormat="false" ht="60" hidden="false" customHeight="true" outlineLevel="0" collapsed="false">
      <c r="A14" s="39" t="n">
        <v>10</v>
      </c>
      <c r="B14" s="39" t="s">
        <v>191</v>
      </c>
      <c r="C14" s="39" t="s">
        <v>233</v>
      </c>
      <c r="D14" s="39" t="s">
        <v>242</v>
      </c>
      <c r="E14" s="39" t="s">
        <v>243</v>
      </c>
      <c r="F14" s="39" t="s">
        <v>212</v>
      </c>
      <c r="G14" s="39" t="s">
        <v>196</v>
      </c>
      <c r="H14" s="39" t="s">
        <v>244</v>
      </c>
      <c r="I14" s="39" t="s">
        <v>245</v>
      </c>
      <c r="J14" s="39" t="s">
        <v>232</v>
      </c>
      <c r="K14" s="40" t="s">
        <v>199</v>
      </c>
    </row>
    <row r="15" customFormat="false" ht="60" hidden="false" customHeight="true" outlineLevel="0" collapsed="false">
      <c r="A15" s="39" t="n">
        <v>11</v>
      </c>
      <c r="B15" s="39" t="s">
        <v>191</v>
      </c>
      <c r="C15" s="39" t="s">
        <v>246</v>
      </c>
      <c r="D15" s="39" t="s">
        <v>247</v>
      </c>
      <c r="E15" s="39" t="s">
        <v>248</v>
      </c>
      <c r="F15" s="39" t="s">
        <v>212</v>
      </c>
      <c r="G15" s="39" t="s">
        <v>196</v>
      </c>
      <c r="H15" s="39" t="s">
        <v>249</v>
      </c>
      <c r="I15" s="39" t="s">
        <v>126</v>
      </c>
      <c r="J15" s="39" t="s">
        <v>215</v>
      </c>
      <c r="K15" s="40" t="s">
        <v>199</v>
      </c>
    </row>
    <row r="16" customFormat="false" ht="60" hidden="false" customHeight="true" outlineLevel="0" collapsed="false">
      <c r="A16" s="39" t="n">
        <v>12</v>
      </c>
      <c r="B16" s="39" t="s">
        <v>67</v>
      </c>
      <c r="C16" s="39" t="s">
        <v>250</v>
      </c>
      <c r="D16" s="39" t="s">
        <v>251</v>
      </c>
      <c r="E16" s="39" t="s">
        <v>252</v>
      </c>
      <c r="F16" s="39" t="s">
        <v>212</v>
      </c>
      <c r="G16" s="39" t="s">
        <v>196</v>
      </c>
      <c r="H16" s="39" t="s">
        <v>253</v>
      </c>
      <c r="I16" s="39" t="s">
        <v>254</v>
      </c>
      <c r="J16" s="39" t="s">
        <v>232</v>
      </c>
      <c r="K16" s="40" t="s">
        <v>199</v>
      </c>
    </row>
    <row r="17" customFormat="false" ht="60" hidden="false" customHeight="true" outlineLevel="0" collapsed="false">
      <c r="A17" s="39" t="n">
        <v>13</v>
      </c>
      <c r="B17" s="39" t="s">
        <v>67</v>
      </c>
      <c r="C17" s="39" t="s">
        <v>255</v>
      </c>
      <c r="D17" s="39" t="s">
        <v>256</v>
      </c>
      <c r="E17" s="39" t="s">
        <v>257</v>
      </c>
      <c r="F17" s="39" t="s">
        <v>195</v>
      </c>
      <c r="G17" s="39" t="s">
        <v>218</v>
      </c>
      <c r="H17" s="39" t="s">
        <v>258</v>
      </c>
      <c r="I17" s="39" t="s">
        <v>259</v>
      </c>
      <c r="J17" s="39" t="s">
        <v>198</v>
      </c>
      <c r="K17" s="40" t="s">
        <v>199</v>
      </c>
    </row>
    <row r="18" customFormat="false" ht="60" hidden="false" customHeight="true" outlineLevel="0" collapsed="false">
      <c r="A18" s="39" t="n">
        <v>14</v>
      </c>
      <c r="B18" s="39" t="s">
        <v>67</v>
      </c>
      <c r="C18" s="39" t="s">
        <v>260</v>
      </c>
      <c r="D18" s="39" t="s">
        <v>261</v>
      </c>
      <c r="E18" s="39" t="s">
        <v>262</v>
      </c>
      <c r="F18" s="39" t="s">
        <v>195</v>
      </c>
      <c r="G18" s="39" t="s">
        <v>196</v>
      </c>
      <c r="H18" s="39" t="s">
        <v>263</v>
      </c>
      <c r="I18" s="39" t="s">
        <v>264</v>
      </c>
      <c r="J18" s="39" t="s">
        <v>198</v>
      </c>
      <c r="K18" s="40" t="s">
        <v>199</v>
      </c>
    </row>
    <row r="19" customFormat="false" ht="60" hidden="false" customHeight="true" outlineLevel="0" collapsed="false">
      <c r="A19" s="39" t="n">
        <v>15</v>
      </c>
      <c r="B19" s="39" t="s">
        <v>97</v>
      </c>
      <c r="C19" s="39" t="s">
        <v>222</v>
      </c>
      <c r="D19" s="39" t="s">
        <v>265</v>
      </c>
      <c r="E19" s="39" t="s">
        <v>266</v>
      </c>
      <c r="F19" s="39" t="s">
        <v>195</v>
      </c>
      <c r="G19" s="39" t="s">
        <v>196</v>
      </c>
      <c r="H19" s="39" t="s">
        <v>267</v>
      </c>
      <c r="I19" s="39" t="s">
        <v>268</v>
      </c>
      <c r="J19" s="39" t="s">
        <v>232</v>
      </c>
      <c r="K19" s="40" t="s">
        <v>199</v>
      </c>
    </row>
    <row r="20" customFormat="false" ht="60" hidden="false" customHeight="true" outlineLevel="0" collapsed="false">
      <c r="A20" s="39" t="n">
        <v>16</v>
      </c>
      <c r="B20" s="39" t="s">
        <v>97</v>
      </c>
      <c r="C20" s="39" t="s">
        <v>250</v>
      </c>
      <c r="D20" s="39" t="s">
        <v>269</v>
      </c>
      <c r="E20" s="39" t="s">
        <v>270</v>
      </c>
      <c r="F20" s="39" t="s">
        <v>212</v>
      </c>
      <c r="G20" s="39" t="s">
        <v>196</v>
      </c>
      <c r="H20" s="39" t="s">
        <v>271</v>
      </c>
      <c r="I20" s="39" t="s">
        <v>109</v>
      </c>
      <c r="J20" s="39" t="s">
        <v>232</v>
      </c>
      <c r="K20" s="40" t="s">
        <v>199</v>
      </c>
    </row>
    <row r="21" customFormat="false" ht="60" hidden="false" customHeight="true" outlineLevel="0" collapsed="false">
      <c r="A21" s="39" t="n">
        <v>17</v>
      </c>
      <c r="B21" s="39" t="s">
        <v>97</v>
      </c>
      <c r="C21" s="39" t="s">
        <v>272</v>
      </c>
      <c r="D21" s="39" t="s">
        <v>273</v>
      </c>
      <c r="E21" s="39" t="s">
        <v>274</v>
      </c>
      <c r="F21" s="39" t="s">
        <v>195</v>
      </c>
      <c r="G21" s="39" t="s">
        <v>218</v>
      </c>
      <c r="H21" s="39" t="s">
        <v>275</v>
      </c>
      <c r="I21" s="39" t="s">
        <v>276</v>
      </c>
      <c r="J21" s="39" t="s">
        <v>198</v>
      </c>
      <c r="K21" s="40" t="s">
        <v>199</v>
      </c>
    </row>
    <row r="22" customFormat="false" ht="60" hidden="false" customHeight="true" outlineLevel="0" collapsed="false">
      <c r="A22" s="39" t="n">
        <v>18</v>
      </c>
      <c r="B22" s="39" t="s">
        <v>99</v>
      </c>
      <c r="C22" s="39" t="s">
        <v>277</v>
      </c>
      <c r="D22" s="39" t="s">
        <v>278</v>
      </c>
      <c r="E22" s="39" t="s">
        <v>279</v>
      </c>
      <c r="F22" s="39" t="s">
        <v>195</v>
      </c>
      <c r="G22" s="39" t="s">
        <v>196</v>
      </c>
      <c r="H22" s="39" t="s">
        <v>280</v>
      </c>
      <c r="I22" s="39" t="s">
        <v>281</v>
      </c>
      <c r="J22" s="39" t="s">
        <v>198</v>
      </c>
      <c r="K22" s="40" t="s">
        <v>199</v>
      </c>
    </row>
    <row r="23" customFormat="false" ht="60" hidden="false" customHeight="true" outlineLevel="0" collapsed="false">
      <c r="A23" s="39" t="n">
        <v>19</v>
      </c>
      <c r="B23" s="39" t="s">
        <v>99</v>
      </c>
      <c r="C23" s="39" t="s">
        <v>282</v>
      </c>
      <c r="D23" s="39" t="s">
        <v>283</v>
      </c>
      <c r="E23" s="39" t="s">
        <v>284</v>
      </c>
      <c r="F23" s="39" t="s">
        <v>212</v>
      </c>
      <c r="G23" s="39" t="s">
        <v>218</v>
      </c>
      <c r="H23" s="39" t="s">
        <v>240</v>
      </c>
      <c r="I23" s="39" t="s">
        <v>285</v>
      </c>
      <c r="J23" s="39" t="s">
        <v>232</v>
      </c>
      <c r="K23" s="40" t="s">
        <v>199</v>
      </c>
    </row>
    <row r="24" customFormat="false" ht="60" hidden="false" customHeight="true" outlineLevel="0" collapsed="false">
      <c r="A24" s="39" t="n">
        <v>20</v>
      </c>
      <c r="B24" s="39" t="s">
        <v>99</v>
      </c>
      <c r="C24" s="39" t="s">
        <v>286</v>
      </c>
      <c r="D24" s="39" t="s">
        <v>287</v>
      </c>
      <c r="E24" s="39" t="s">
        <v>288</v>
      </c>
      <c r="F24" s="39" t="s">
        <v>212</v>
      </c>
      <c r="G24" s="39" t="s">
        <v>289</v>
      </c>
      <c r="H24" s="39" t="s">
        <v>290</v>
      </c>
      <c r="I24" s="39" t="s">
        <v>291</v>
      </c>
      <c r="J24" s="39" t="s">
        <v>232</v>
      </c>
      <c r="K24" s="40" t="s">
        <v>199</v>
      </c>
    </row>
    <row r="25" customFormat="false" ht="60" hidden="false" customHeight="true" outlineLevel="0" collapsed="false">
      <c r="A25" s="39" t="n">
        <v>21</v>
      </c>
      <c r="B25" s="39" t="s">
        <v>48</v>
      </c>
      <c r="C25" s="39" t="s">
        <v>292</v>
      </c>
      <c r="D25" s="39" t="s">
        <v>293</v>
      </c>
      <c r="E25" s="39" t="s">
        <v>294</v>
      </c>
      <c r="F25" s="39" t="s">
        <v>195</v>
      </c>
      <c r="G25" s="39" t="s">
        <v>196</v>
      </c>
      <c r="H25" s="39" t="s">
        <v>295</v>
      </c>
      <c r="I25" s="39" t="s">
        <v>296</v>
      </c>
      <c r="J25" s="39" t="s">
        <v>208</v>
      </c>
      <c r="K25" s="40" t="s">
        <v>199</v>
      </c>
    </row>
    <row r="26" customFormat="false" ht="60" hidden="false" customHeight="true" outlineLevel="0" collapsed="false">
      <c r="A26" s="39" t="n">
        <v>22</v>
      </c>
      <c r="B26" s="39" t="s">
        <v>48</v>
      </c>
      <c r="C26" s="39" t="s">
        <v>297</v>
      </c>
      <c r="D26" s="39" t="s">
        <v>298</v>
      </c>
      <c r="E26" s="39" t="s">
        <v>299</v>
      </c>
      <c r="F26" s="39" t="s">
        <v>212</v>
      </c>
      <c r="G26" s="39" t="s">
        <v>196</v>
      </c>
      <c r="H26" s="39" t="s">
        <v>300</v>
      </c>
      <c r="I26" s="39" t="s">
        <v>301</v>
      </c>
      <c r="J26" s="39" t="s">
        <v>198</v>
      </c>
      <c r="K26" s="40" t="s">
        <v>199</v>
      </c>
    </row>
    <row r="27" customFormat="false" ht="60" hidden="false" customHeight="true" outlineLevel="0" collapsed="false">
      <c r="A27" s="39" t="n">
        <v>23</v>
      </c>
      <c r="B27" s="39" t="s">
        <v>48</v>
      </c>
      <c r="C27" s="39" t="s">
        <v>302</v>
      </c>
      <c r="D27" s="39" t="s">
        <v>303</v>
      </c>
      <c r="E27" s="39" t="s">
        <v>304</v>
      </c>
      <c r="F27" s="39" t="s">
        <v>195</v>
      </c>
      <c r="G27" s="39" t="s">
        <v>218</v>
      </c>
      <c r="H27" s="39" t="s">
        <v>305</v>
      </c>
      <c r="I27" s="39" t="s">
        <v>306</v>
      </c>
      <c r="J27" s="39" t="s">
        <v>227</v>
      </c>
      <c r="K27" s="40" t="s">
        <v>199</v>
      </c>
    </row>
    <row r="28" customFormat="false" ht="60" hidden="false" customHeight="true" outlineLevel="0" collapsed="false">
      <c r="A28" s="39" t="n">
        <v>24</v>
      </c>
      <c r="B28" s="39" t="s">
        <v>48</v>
      </c>
      <c r="C28" s="39" t="s">
        <v>307</v>
      </c>
      <c r="D28" s="39" t="s">
        <v>308</v>
      </c>
      <c r="E28" s="39" t="s">
        <v>309</v>
      </c>
      <c r="F28" s="39" t="s">
        <v>195</v>
      </c>
      <c r="G28" s="39" t="s">
        <v>196</v>
      </c>
      <c r="H28" s="39" t="s">
        <v>310</v>
      </c>
      <c r="I28" s="39" t="s">
        <v>311</v>
      </c>
      <c r="J28" s="39" t="s">
        <v>312</v>
      </c>
      <c r="K28" s="40" t="s">
        <v>199</v>
      </c>
    </row>
    <row r="29" customFormat="false" ht="60" hidden="false" customHeight="true" outlineLevel="0" collapsed="false">
      <c r="A29" s="39" t="n">
        <v>25</v>
      </c>
      <c r="B29" s="39" t="s">
        <v>191</v>
      </c>
      <c r="C29" s="39" t="s">
        <v>313</v>
      </c>
      <c r="D29" s="39" t="s">
        <v>314</v>
      </c>
      <c r="E29" s="39" t="s">
        <v>315</v>
      </c>
      <c r="F29" s="39" t="s">
        <v>195</v>
      </c>
      <c r="G29" s="39" t="s">
        <v>218</v>
      </c>
      <c r="H29" s="39" t="s">
        <v>316</v>
      </c>
      <c r="I29" s="39" t="s">
        <v>317</v>
      </c>
      <c r="J29" s="39" t="s">
        <v>227</v>
      </c>
      <c r="K29" s="40" t="s">
        <v>199</v>
      </c>
    </row>
    <row r="30" customFormat="false" ht="60" hidden="false" customHeight="true" outlineLevel="0" collapsed="false">
      <c r="A30" s="39" t="n">
        <v>26</v>
      </c>
      <c r="B30" s="39" t="s">
        <v>191</v>
      </c>
      <c r="C30" s="39" t="s">
        <v>318</v>
      </c>
      <c r="D30" s="39" t="s">
        <v>319</v>
      </c>
      <c r="E30" s="39" t="s">
        <v>320</v>
      </c>
      <c r="F30" s="39" t="s">
        <v>212</v>
      </c>
      <c r="G30" s="39" t="s">
        <v>196</v>
      </c>
      <c r="H30" s="39" t="s">
        <v>321</v>
      </c>
      <c r="I30" s="39" t="s">
        <v>322</v>
      </c>
      <c r="J30" s="39" t="s">
        <v>323</v>
      </c>
      <c r="K30" s="40" t="s">
        <v>199</v>
      </c>
    </row>
  </sheetData>
  <autoFilter ref="A4:K30"/>
  <conditionalFormatting sqref="G5:G30">
    <cfRule type="cellIs" priority="2" operator="equal" aboveAverage="0" equalAverage="0" bottom="0" percent="0" rank="0" text="" dxfId="7">
      <formula>"عالية"</formula>
    </cfRule>
    <cfRule type="cellIs" priority="3" operator="equal" aboveAverage="0" equalAverage="0" bottom="0" percent="0" rank="0" text="" dxfId="8">
      <formula>"متوسطة"</formula>
    </cfRule>
  </conditionalFormatting>
  <conditionalFormatting sqref="F5:F30">
    <cfRule type="cellIs" priority="4" operator="equal" aboveAverage="0" equalAverage="0" bottom="0" percent="0" rank="0" text="" dxfId="13">
      <formula>"ذكي"</formula>
    </cfRule>
  </conditionalFormatting>
  <dataValidations count="1">
    <dataValidation allowBlank="true" errorStyle="stop" operator="between" showDropDown="false" showErrorMessage="false" showInputMessage="false" sqref="K5:K30" type="list">
      <formula1>"لم يبدأ,قيد التنفيذ,تم"</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70"/>
    <col collapsed="false" customWidth="true" hidden="false" outlineLevel="0" max="3" min="3" style="0" width="34"/>
    <col collapsed="false" customWidth="true" hidden="false" outlineLevel="0" max="4" min="4" style="0" width="12"/>
  </cols>
  <sheetData>
    <row r="1" customFormat="false" ht="18.65" hidden="false" customHeight="false" outlineLevel="0" collapsed="false">
      <c r="A1" s="1" t="s">
        <v>324</v>
      </c>
      <c r="B1" s="2"/>
      <c r="C1" s="2"/>
      <c r="D1" s="2"/>
    </row>
    <row r="2" customFormat="false" ht="15" hidden="false" customHeight="false" outlineLevel="0" collapsed="false">
      <c r="A2" s="3" t="s">
        <v>325</v>
      </c>
      <c r="B2" s="2"/>
      <c r="C2" s="2"/>
      <c r="D2" s="2"/>
    </row>
    <row r="3" customFormat="false" ht="15" hidden="false" customHeight="false" outlineLevel="0" collapsed="false">
      <c r="A3" s="2"/>
      <c r="B3" s="2"/>
      <c r="C3" s="2"/>
      <c r="D3" s="2"/>
    </row>
    <row r="4" customFormat="false" ht="36" hidden="false" customHeight="true" outlineLevel="0" collapsed="false">
      <c r="A4" s="9" t="s">
        <v>326</v>
      </c>
      <c r="B4" s="9" t="s">
        <v>327</v>
      </c>
      <c r="C4" s="9" t="s">
        <v>328</v>
      </c>
      <c r="D4" s="9" t="s">
        <v>27</v>
      </c>
    </row>
    <row r="5" customFormat="false" ht="69.75" hidden="false" customHeight="true" outlineLevel="0" collapsed="false">
      <c r="A5" s="41" t="s">
        <v>329</v>
      </c>
      <c r="B5" s="39" t="s">
        <v>330</v>
      </c>
      <c r="C5" s="39" t="s">
        <v>331</v>
      </c>
      <c r="D5" s="40" t="s">
        <v>199</v>
      </c>
    </row>
    <row r="6" customFormat="false" ht="69.75" hidden="false" customHeight="true" outlineLevel="0" collapsed="false">
      <c r="A6" s="41" t="s">
        <v>332</v>
      </c>
      <c r="B6" s="39" t="s">
        <v>333</v>
      </c>
      <c r="C6" s="39" t="s">
        <v>334</v>
      </c>
      <c r="D6" s="40" t="s">
        <v>199</v>
      </c>
    </row>
    <row r="7" customFormat="false" ht="69.75" hidden="false" customHeight="true" outlineLevel="0" collapsed="false">
      <c r="A7" s="41" t="s">
        <v>335</v>
      </c>
      <c r="B7" s="39" t="s">
        <v>336</v>
      </c>
      <c r="C7" s="39" t="s">
        <v>337</v>
      </c>
      <c r="D7" s="40" t="s">
        <v>199</v>
      </c>
    </row>
    <row r="8" customFormat="false" ht="69.75" hidden="false" customHeight="true" outlineLevel="0" collapsed="false">
      <c r="A8" s="41" t="s">
        <v>338</v>
      </c>
      <c r="B8" s="39" t="s">
        <v>339</v>
      </c>
      <c r="C8" s="39" t="s">
        <v>340</v>
      </c>
      <c r="D8" s="40" t="s">
        <v>199</v>
      </c>
    </row>
    <row r="9" customFormat="false" ht="15" hidden="false" customHeight="false" outlineLevel="0" collapsed="false">
      <c r="A9" s="2"/>
      <c r="B9" s="2"/>
      <c r="C9" s="2"/>
      <c r="D9" s="2"/>
    </row>
    <row r="10" customFormat="false" ht="15" hidden="false" customHeight="false" outlineLevel="0" collapsed="false">
      <c r="A10" s="4" t="s">
        <v>341</v>
      </c>
      <c r="B10" s="2"/>
      <c r="C10" s="2"/>
      <c r="D10" s="2"/>
    </row>
    <row r="11" customFormat="false" ht="15" hidden="false" customHeight="false" outlineLevel="0" collapsed="false">
      <c r="A11" s="42" t="s">
        <v>342</v>
      </c>
      <c r="B11" s="2"/>
      <c r="C11" s="2"/>
      <c r="D11" s="2"/>
    </row>
    <row r="12" customFormat="false" ht="15" hidden="false" customHeight="false" outlineLevel="0" collapsed="false">
      <c r="A12" s="42" t="s">
        <v>343</v>
      </c>
      <c r="B12" s="2"/>
      <c r="C12" s="2"/>
      <c r="D12" s="2"/>
    </row>
    <row r="13" customFormat="false" ht="15" hidden="false" customHeight="false" outlineLevel="0" collapsed="false">
      <c r="A13" s="42" t="s">
        <v>344</v>
      </c>
      <c r="B13" s="2"/>
      <c r="C13" s="2"/>
      <c r="D13" s="2"/>
    </row>
    <row r="14" customFormat="false" ht="15" hidden="false" customHeight="false" outlineLevel="0" collapsed="false">
      <c r="A14" s="42" t="s">
        <v>345</v>
      </c>
      <c r="B14" s="2"/>
      <c r="C14" s="2"/>
      <c r="D14" s="2"/>
    </row>
    <row r="15" customFormat="false" ht="15" hidden="false" customHeight="false" outlineLevel="0" collapsed="false">
      <c r="A15" s="42" t="s">
        <v>346</v>
      </c>
      <c r="B15" s="2"/>
      <c r="C15" s="2"/>
      <c r="D15" s="2"/>
    </row>
    <row r="16" customFormat="false" ht="15" hidden="false" customHeight="false" outlineLevel="0" collapsed="false">
      <c r="A16" s="42" t="s">
        <v>347</v>
      </c>
      <c r="B16" s="2"/>
      <c r="C16" s="2"/>
      <c r="D16" s="2"/>
    </row>
  </sheetData>
  <dataValidations count="1">
    <dataValidation allowBlank="false" errorStyle="stop" operator="between" showDropDown="false" showErrorMessage="false" showInputMessage="false" sqref="D5:D8" type="list">
      <formula1>"لم يبدأ,قيد التنفيذ,تم"</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2026-10-07T00:26:48Z</dcterms:created>
  <dc:creator>openpyxl</dc:creator>
  <dc:description/>
  <dc:language>en-US</dc:language>
  <cp:lastModifiedBy/>
  <dcterms:modified xsi:type="dcterms:W3CDTF">2026-10-07T00:26:48Z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